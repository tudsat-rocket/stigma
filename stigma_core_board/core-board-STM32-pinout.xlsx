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743xIG Pins" sheetId="1" r:id="rId4"/>
    <sheet state="visible" name="ConnectorPins" sheetId="2" r:id="rId5"/>
  </sheets>
  <definedNames/>
  <calcPr/>
</workbook>
</file>

<file path=xl/sharedStrings.xml><?xml version="1.0" encoding="utf-8"?>
<sst xmlns="http://schemas.openxmlformats.org/spreadsheetml/2006/main" count="553" uniqueCount="344">
  <si>
    <t>#</t>
  </si>
  <si>
    <t>Name/Function</t>
  </si>
  <si>
    <t>AF (Core Board)</t>
  </si>
  <si>
    <t>Conn. Pin</t>
  </si>
  <si>
    <t>AF (Mission Board Opt. 1)</t>
  </si>
  <si>
    <t>AF (Mission Board Opt. 2)</t>
  </si>
  <si>
    <t>ADC</t>
  </si>
  <si>
    <t>Use/Notes</t>
  </si>
  <si>
    <t>SPI</t>
  </si>
  <si>
    <t>FDCAN</t>
  </si>
  <si>
    <t>ETH</t>
  </si>
  <si>
    <t>Timers</t>
  </si>
  <si>
    <t>USB (OTG)</t>
  </si>
  <si>
    <t>UART</t>
  </si>
  <si>
    <t>DAC</t>
  </si>
  <si>
    <t>Other</t>
  </si>
  <si>
    <t>Additional functions</t>
  </si>
  <si>
    <t>Alternate functions</t>
  </si>
  <si>
    <t>https://www.st.com/resource/en/datasheet/stm32h743bi.pdf</t>
  </si>
  <si>
    <t>BOOT0</t>
  </si>
  <si>
    <t>VPP</t>
  </si>
  <si>
    <t>NRST</t>
  </si>
  <si>
    <t>PA0</t>
  </si>
  <si>
    <t>UART4_TX</t>
  </si>
  <si>
    <t>ADC1_INP16,WKUP1</t>
  </si>
  <si>
    <t>TIM2_CH1/TIM2_ETR,TIM5_CH1, TIM8_ETR,TIM15_BKIN,USART2_CTS/USART2_NSS, UART4_TX,SDMMC2_CMD,SAI2_SD_B,ETH_MII_CRS,EVENTOUT</t>
  </si>
  <si>
    <t>PA1</t>
  </si>
  <si>
    <t>ETH_RMII_REF_CLK</t>
  </si>
  <si>
    <t>UART4_RX</t>
  </si>
  <si>
    <t>ADC1_INN16,ADC1_INP17</t>
  </si>
  <si>
    <t>TIM2_CH2, TIM5_CH2,LPTIM3_OUT,TIM15_CH1N,USART2_RTS/USART2_DE, UART4_RX,QUADSPI_BK1_IO3,SAI2_MCLK_B,ETH_MII_RX_CLK/ETH_RMII_REF_CLK,LCD_R2, EVENTOUT</t>
  </si>
  <si>
    <t>PA10</t>
  </si>
  <si>
    <t>Output/Timer</t>
  </si>
  <si>
    <t>LED</t>
  </si>
  <si>
    <t>TIM1_CH3,HRTIM_CHC2,LPUART1_RX,USART1_RX,OTG_FS_ID,MDIOS_MDIO, LCD_B4,DCMI_D1, LCD_B1,EVENTOUT</t>
  </si>
  <si>
    <t>PA11</t>
  </si>
  <si>
    <t>OTG_FS_DM</t>
  </si>
  <si>
    <t>TIM1_CH4,HRTIM_CHD1,LPUART1_CTS,SPI2_NSS/I2S2_WS,UART4_RX,USART1_CTS/USART1_NSS, FDCAN1_RX,OTG_FS_DM, LCD_R4,EVENTOUT</t>
  </si>
  <si>
    <t>PA12</t>
  </si>
  <si>
    <t>OTG_FS_DP</t>
  </si>
  <si>
    <t>TIM1_ETR,HRTIM_CHD2,LPUART1_RTS/LPUART1_DE,SPI2_SCK/I2S2_CK,UART4_TX,USART1_RTS/USART1_DE, SAI2_FS_B,FDCAN1_TX,OTG_FS_DP, LCD_R5,EVENTOUT</t>
  </si>
  <si>
    <t>PA13(JTMS/SWDIO)</t>
  </si>
  <si>
    <t>JTMS-SWDIO,EVENTOUT</t>
  </si>
  <si>
    <t>PA14(JTCK/SWCLK)</t>
  </si>
  <si>
    <t>JTCK-SWCLK,EVENTOUT</t>
  </si>
  <si>
    <t>PA15(JTDI)</t>
  </si>
  <si>
    <t>JTDI,TIM2_CH1/TIM2_ETR,HRTIM_FLT1, CEC,SPI1_NSS/I2S1_WS,SPI3_NSS/I2S3_WS,SPI6_NSS,UART4_RTS/UART4_DE, UART7_TX,EVENTOUT</t>
  </si>
  <si>
    <t>PA2</t>
  </si>
  <si>
    <t>ETH_MDIO</t>
  </si>
  <si>
    <t>UART2_TX</t>
  </si>
  <si>
    <t>ADC12_INP14,WKUP2</t>
  </si>
  <si>
    <t>TIM2_CH3, TIM5_CH3,LPTIM4_OUT,TIM15_CH1,USART2_TX,SAI2_SCK_B,ETH_MDIO,MDIOS_MDIO, LCD_R1,EVENTOUT</t>
  </si>
  <si>
    <t>PA3</t>
  </si>
  <si>
    <t>ADC12_INP15</t>
  </si>
  <si>
    <t>UART2_RX</t>
  </si>
  <si>
    <t>TIM2_CH4, TIM5_CH4,LPTIM5_OUT,TIM15_CH2,USART2_RX, LCD_B2,OTG_HS_ULPI_D0,ETH_MII_COL, LCD_B5,EVENTOUT</t>
  </si>
  <si>
    <t>PA4</t>
  </si>
  <si>
    <t>ADC12_INP18</t>
  </si>
  <si>
    <t>DAC1_OUT1</t>
  </si>
  <si>
    <t>ADC12_INP18,DAC1_OUT1</t>
  </si>
  <si>
    <t>D1PWREN, TIM5_ETR,SPI1_NSS/I2S1_WS,SPI3_NSS/I2S3_WS,USART2_CK, SPI6_NSS,OTG_HS_SOF,DCMI_HSYNC,LCD_VSYNC,EVENTOUT</t>
  </si>
  <si>
    <t>PA5</t>
  </si>
  <si>
    <t>SPI1_SCK</t>
  </si>
  <si>
    <t>ADC12_INN18,ADC12_INP19,DAC1_OUT2</t>
  </si>
  <si>
    <t>D2PWREN,TIM2_CH1/TIM2_ETR,TIM8_CH1N,SPI1_SCK/I2S1_CK,SPI6_SCK,OTG_HS_ULPI_CK,LCD_R4, EVENTOUT</t>
  </si>
  <si>
    <t>PA6</t>
  </si>
  <si>
    <t>ADC12_INP3</t>
  </si>
  <si>
    <t>TIM1_BKIN, TIM3_CH1,TIM8_BKIN,SPI1_MISO/I2S1_SDI,SPI6_MISO, TIM13_CH1,TIM8_BKIN_COMP12,MDIOS_MDC,TIM1_BKIN_COMP12,DCMI_PIXCLK, LCD_G2,EVENTOUT</t>
  </si>
  <si>
    <t>PA7</t>
  </si>
  <si>
    <t>ETH_RMII_CRS_DV</t>
  </si>
  <si>
    <t>ADC12_INN3,ADC12_INP7,OPAMP1_VINM</t>
  </si>
  <si>
    <t>TIM1_CH1N, TIM3_CH2,TIM8_CH1N,SPI1_MOSI/I2S1_SDO,SPI6_MOSI, TIM14_CH1,ETH_MII_RX_DV/ETH_RMII_CRS_DV,FMC_SDNWE,EVENTOUT</t>
  </si>
  <si>
    <t>PA8</t>
  </si>
  <si>
    <t>MCO1, TIM1_CH1,HRTIM_CHB2,TIM8_BKIN2, I2C3_SCL,USART1_CK,OTG_FS_SOF,UART7_RX,TIM8_BKIN2_COMP12,LCD_B3, LCD_R6,EVENTOUT</t>
  </si>
  <si>
    <t>PA9</t>
  </si>
  <si>
    <t>USB VBUS detection</t>
  </si>
  <si>
    <t>OTG_FS_VBUS</t>
  </si>
  <si>
    <t>TIM1_CH2,HRTIM_CHC1,LPUART1_TX,I2C3_SMBA,SPI2_SCK/I2S2_CK,USART1_TX, DCMI_D0,LCD_R5, EVENTOUT</t>
  </si>
  <si>
    <t>PB0</t>
  </si>
  <si>
    <t>ADC12_INN5,ADC12_INP9,OPAMP1_VINP,COMP1_INP</t>
  </si>
  <si>
    <t>TIM1_CH2N, TIM3_CH3,TIM8_CH2N,DFSDM1_CKOUT,UART4_CTS, LCD_R3,OTG_HS_ULPI_D1,ETH_MII_RXD2,LCD_G1, EVENTOUT</t>
  </si>
  <si>
    <t>PB1</t>
  </si>
  <si>
    <t>ADC12_INP5,COMP1_INM</t>
  </si>
  <si>
    <t>TIM1_CH3N, TIM3_CH4,TIM8_CH3N,DFSDM1_DATIN1,LCD_R6,OTG_HS_ULPI_D2,ETH_MII_RXD3,LCD_G0, EVENTOUT</t>
  </si>
  <si>
    <t>PB10</t>
  </si>
  <si>
    <t>TIM2_CH3</t>
  </si>
  <si>
    <t>TIM2_CH3,HRTIM_SCOUT,LPTIM2_IN1, I2C2_SCL,SPI2_SCK/I2S2_CK,DFSDM1_DATIN7,USART3_TX,QUADSPI_BK1_NCS,OTG_HS_ULPI_D3,ETH_MII_RX_ER,LCD_G4, EVENTOUT</t>
  </si>
  <si>
    <t>PB11</t>
  </si>
  <si>
    <t>ETH_RMII_TX_EN</t>
  </si>
  <si>
    <t>TIM2_CH4</t>
  </si>
  <si>
    <t>TIM2_CH4,HRTIM_SCIN,LPTIM2_ETR,I2C2_SDA,DFSDM1_CKIN7,USART3_RX,OTG_HS_ULPI_D4,ETH_MII_TX_EN/ETH_RMII_TX_EN, LCD_G5,EVENTOUT</t>
  </si>
  <si>
    <t>PB12</t>
  </si>
  <si>
    <t>ETH_RMII_TXD0</t>
  </si>
  <si>
    <t>FDCAN2_RX</t>
  </si>
  <si>
    <t>TIM1_BKIN, I2C2_SMBA,SPI2_NSS/I2S2_WS,DFSDM1_DATIN1,USART3_CK,FDCAN2_RX,OTG_HS_ULPI_D5,ETH_MII_TXD0/ETH_RMII_TXD0, OTG_HS_ID,TIM1_BKIN_COMP12,UART5_RX, EVENTOUT</t>
  </si>
  <si>
    <t>PB13</t>
  </si>
  <si>
    <t>ETH_RMII_TXD1</t>
  </si>
  <si>
    <t>FDCAN2_TX</t>
  </si>
  <si>
    <t>OTG_HS_VBUS</t>
  </si>
  <si>
    <t>TIM1_CH1N,LPTIM2_OUT,SPI2_SCK/I2S2_CK,DFSDM1_CKIN1,USART3_CTS/USART3_NSS, FDCAN2_TX,OTG_HS_ULPI_D6,ETH_MII_TXD1/ETH_RMII_TXD1, UART5_TX,EVENTOUT</t>
  </si>
  <si>
    <t>PB14</t>
  </si>
  <si>
    <t>SPI2_MISO</t>
  </si>
  <si>
    <t>TIM1_CH2N,TIM12_CH1,TIM8_CH2N,USART1_TX,SPI2_MISO/I2S2_SDI,DFSDM1_DATIN2,USART3_RTS/USART3_DE,UART4_RTS/UART4_DE, SDMMC2_D0,OTG_HS_DM,EVENTOUT</t>
  </si>
  <si>
    <t>PB15</t>
  </si>
  <si>
    <t>SPI2_MOSI</t>
  </si>
  <si>
    <t>RTC_REFIN,TIM1_CH3N,TIM12_CH2,TIM8_CH3N,USART1_RX,SPI2_MOSI/I2S2_SDO,DFSDM1_CKIN2,UART4_CTS,SDMMC2_D1,OTG_HS_DP,EVENTOUT</t>
  </si>
  <si>
    <t>PB2</t>
  </si>
  <si>
    <t>COMP1_INP</t>
  </si>
  <si>
    <t>RTC_OUT, SAI1_D1,DFSDM1_CKIN1,SAI1_SD_A,SPI3_MOSI/I2S3_SDO,SAI4_SD_A,QUADSPI_CLK,SAI4_D1, EVENTOUT</t>
  </si>
  <si>
    <t>PB3(JTDO/TRACESWO)</t>
  </si>
  <si>
    <t>SWO</t>
  </si>
  <si>
    <t>JTDO/TRACESWO,TIM2_CH2,HRTIM_FLT4,SPI1_SCK/I2S1_CK,SPI3_SCK/I2S3_CK,SPI6_SCK,SDMMC2_D2,CRS_SYNC, UART7_RX,EVENTOUT</t>
  </si>
  <si>
    <t xml:space="preserve">PB4(NJTRST) </t>
  </si>
  <si>
    <t>SPI1_MISO</t>
  </si>
  <si>
    <t>NJTRST, TIM16_BKIN,TIM3_CH1,HRTIM_EEV6,SPI1_MISO/I2S1_SDI,SPI3_MISO/I2S3_SDI,SPI2_NSS/I2S2_WS,SPI6_MISO,SDMMC2_D3,UART7_TX, EVENTOUT</t>
  </si>
  <si>
    <t>PB5</t>
  </si>
  <si>
    <t>UART5_RX</t>
  </si>
  <si>
    <t>TIM17_BKIN, TIM3_CH2,HRTIM_EEV7,I2C1_SMBA,SPI1_MOSI/I2S1_SDO,I2C4_SMBA,SPI3_MOSI/I2S3_SDO,SPI6_MOSI,FDCAN2_RX,OTG_HS_ULPI_D7,ETH_PPS_OUT,FMC_SDCKE1,DCMI_D10, UART5_RX,EVENTOUT</t>
  </si>
  <si>
    <t>PB6</t>
  </si>
  <si>
    <t>UART5_TX</t>
  </si>
  <si>
    <t>TIM16_CH1N,TIM4_CH1,HRTIM_EEV8,I2C1_SCL, CEC,I2C4_SCL, USART1_TX,LPUART1_TX,FDCAN2_TX,QUADSPI_BK1_NCS,DFSDM1_DATIN5,FMC_SDNE1, DCMI_D5,UART5_TX, EVENTOUT</t>
  </si>
  <si>
    <t>PB7</t>
  </si>
  <si>
    <t>PVD_IN</t>
  </si>
  <si>
    <t>TIM17_CH1N,TIM4_CH2,HRTIM_EEV9,I2C1_SDA, I2C4_SDA,USART1_RX,LPUART1_RX,DFSDM1_CKIN5,FMC_NL, DCMI_VSYNC,EVENTOUT</t>
  </si>
  <si>
    <t>PB8</t>
  </si>
  <si>
    <t>FDCAN1_RX</t>
  </si>
  <si>
    <t>TIM16_CH1, TIM4_CH3,DFSDM1_CKIN7,I2C1_SCL, I2C4_SCL,SDMMC1_CKIN,UART4_RX,FDCAN1_RX,SDMMC2_D4,ETH_MII_TXD3,SDMMC1_D4, DCMI_D6,LCD_B6, EVENTOUT</t>
  </si>
  <si>
    <t>PB9</t>
  </si>
  <si>
    <t>FDCAN1_TX</t>
  </si>
  <si>
    <t>TIM17_CH1, TIM4_CH4,DFSDM1_DATIN7,I2C1_SDA,SPI2_NSS/I2S2_WS,I2C4_SDA,SDMMC1_CDIR,UART4_TX,FDCAN1_TX,SDMMC2_D5,I2C4_SMBA,SDMMC1_D5, DCMI_D7,LCD_B7, EVENTOUT</t>
  </si>
  <si>
    <t>PC0</t>
  </si>
  <si>
    <t>ADC123_INP10</t>
  </si>
  <si>
    <t>DFSDM1_CKIN0,DFSDM1_DATIN4,SAI2_FS_B,OTG_HS_ULPI_STP,FMC_SDNWE, LCD_R5,EVENTOUT</t>
  </si>
  <si>
    <t>PC1</t>
  </si>
  <si>
    <t>ETH_MDC</t>
  </si>
  <si>
    <t>ADC123_INN10,ADC123_INP11,RTC_TAMP3/WKUP6</t>
  </si>
  <si>
    <t>TRACED0, SAI1_D1,DFSDM1_DATIN0,DFSDM1_CKIN4,SPI2_MOSI/I2S2_SDO,SAI1_SD_A, SAI4_SD_A,SDMMC2_CK, SAI4_D1,ETH_MDC,MDIOS_MDC,EVENTOUT</t>
  </si>
  <si>
    <t>PC10</t>
  </si>
  <si>
    <t>SPI3_SCK</t>
  </si>
  <si>
    <t>HRTIM_EEV1,DFSDM1_CKIN5,SPI3_SCK/I2S3_CK,USART3_TX,UART4_TX,QUADSPI_BK1_IO1,SDMMC1_D2, DCMI_D8,LCD_R2, EVENTOUT</t>
  </si>
  <si>
    <t>PC11</t>
  </si>
  <si>
    <t>SPI3_MISO</t>
  </si>
  <si>
    <t>HRTIM_FLT2,DFSDM1_DATIN5,SPI3_MISO/I2S3_SDI,USART3_RX,UART4_RX,QUADSPI_BK2_NCS,SDMMC1_D3, DCMI_D4,EVENTOUT</t>
  </si>
  <si>
    <t>PC12</t>
  </si>
  <si>
    <t>SPI3_MOSI</t>
  </si>
  <si>
    <t>TRACED3,HRTIM_EEV2,SPI3_MOSI/I2S3_SDO,USART3_CK,UART5_TX,SDMMC1_CK, DCMI_D9,EVENTOUT</t>
  </si>
  <si>
    <t>PC13</t>
  </si>
  <si>
    <t>Output</t>
  </si>
  <si>
    <t>CS for Flash</t>
  </si>
  <si>
    <t>RTC_TAMP1/RTC_TS/WKUP4</t>
  </si>
  <si>
    <t>EVENTOUT</t>
  </si>
  <si>
    <t>PC14-OSC32_IN</t>
  </si>
  <si>
    <t>OSC32_IN</t>
  </si>
  <si>
    <t>PC15-OSC32_OUT</t>
  </si>
  <si>
    <t>OSC32_OUT</t>
  </si>
  <si>
    <t>PC2_C</t>
  </si>
  <si>
    <t>ADC3_INN1,ADC3_INP0</t>
  </si>
  <si>
    <t>CDSLEEP,DFSDM1_CKIN1,SPI2_MISO/I2S2_SDI,DFSDM1_CKOUT,OTG_HS_ULPI_DIR,ETH_MII_TXD2,FMC_SDNE0,EVENTOUT</t>
  </si>
  <si>
    <t>PC3_C</t>
  </si>
  <si>
    <t>ADC3_INP1</t>
  </si>
  <si>
    <t>CSLEEP,DFSDM1_DATIN1,SPI2_MOSI/I2S2_SDO,OTG_HS_ULPI_NXT,ETH_MII_TX_CLK,FMC_SDCKE0,EVENTOUT</t>
  </si>
  <si>
    <t>PC4</t>
  </si>
  <si>
    <t>ETH_RMII_RXD0</t>
  </si>
  <si>
    <t>ADC12_INP4,OPAMP1_VOUT,COMP1_INM</t>
  </si>
  <si>
    <t>DFSDM1_CKIN2,I2S1_MCK,SPDIFRX1_IN3,ETH_MII_RXD0/ETH_RMII_RXD0, FMC_SDNE0,EVENTOUT</t>
  </si>
  <si>
    <t>PC5</t>
  </si>
  <si>
    <t>ETH_RMII_RXD1</t>
  </si>
  <si>
    <t>ADC12_INN4,ADC12_INP8,OPAMP1_VINM</t>
  </si>
  <si>
    <t>SAI1_D3,DFSDM1_DATIN2,SPDIFRX1_IN4,SAI4_D3,ETH_MII_RXD1/ETH_RMII_RXD1,FMC_SDCKE0,COMP1_OUT,EVENTOUT</t>
  </si>
  <si>
    <t>PC6</t>
  </si>
  <si>
    <t>UART6_TX</t>
  </si>
  <si>
    <t>TIM3_CH1</t>
  </si>
  <si>
    <t>SWPMI_IO</t>
  </si>
  <si>
    <t>HRTIM_CHA1,TIM3_CH1, TIM8_CH1,DFSDM1_CKIN3,I2S2_MCK, USART6_TX,SDMMC1_D0DIR,FMC_NWAIT,SDMMC2_D6,SDMMC1_D6, DCMI_D0,LCD_HSYNC,EVENTOUT</t>
  </si>
  <si>
    <t>PC7</t>
  </si>
  <si>
    <t>UART6_RX</t>
  </si>
  <si>
    <t>TIM3_CH2</t>
  </si>
  <si>
    <t>TRGIO, HRTIM_CHA2,TIM3_CH2, TIM8_CH2,DFSDM1_DATIN3,I2S3_MCK,USART6_RX,SDMMC1_D123DIR,FMC_NE1,SDMMC2_D7,SWPMI_TX,SDMMC1_D7, DCMI_D1,LCD_G6, EVENTOUT</t>
  </si>
  <si>
    <t>PC8</t>
  </si>
  <si>
    <t>TIM3_CH3</t>
  </si>
  <si>
    <t>TRACED1,HRTIM_CHB1,TIM3_CH3, TIM8_CH3,USART6_CK,UART5_RTS/UART5_DE, FMC_NE2/FMC_NCE,SWPMI_RX,SDMMC1_D0, DCMI_D2,EVENTOUT</t>
  </si>
  <si>
    <t>PC9</t>
  </si>
  <si>
    <t>TIM3_CH4</t>
  </si>
  <si>
    <t>MCO2, TIM3_CH4,TIM8_CH4, I2C3_SDA,I2S_CKIN, UART5_CTS,QUADSPI_BK1_IO0,LCD_G3,SWPMI_SUSPEND,SDMMC1_D1, DCMI_D3,LCD_B2, EVENTOUT</t>
  </si>
  <si>
    <t>PD0</t>
  </si>
  <si>
    <t>DFSDM1_CKIN6,SAI3_SCK_A,UART4_RX,FDCAN1_RX,FMC_D2/FMC_DA2,EVENTOUT</t>
  </si>
  <si>
    <t>PD1</t>
  </si>
  <si>
    <t>DFSDM1_DATIN6,SAI3_SD_A, UART4_TX,FDCAN1_TX,FMC_D3/FMC_DA3,EVENTOUT</t>
  </si>
  <si>
    <t>PD10</t>
  </si>
  <si>
    <t>DFSDM1_CKOUT,SAI3_FS_B,USART3_CK,FMC_D15/FMC_DA15,LCD_B3, EVENTOUT</t>
  </si>
  <si>
    <t>PD11</t>
  </si>
  <si>
    <t>LPTIM2_IN2,I2C4_SMBA,USART3_CTS/USART3_NSS,QUADSPI_BK1_IO0,SAI2_SD_A, FMC_A16,EVENTOUT</t>
  </si>
  <si>
    <t>PD12</t>
  </si>
  <si>
    <t>LPTIM1_IN1, TIM4_CH1,LPTIM2_IN1, I2C4_SCL,USART3_RTS/USART3_DE, QUADSPI_BK1_IO1,SAI2_FS_A, FMC_A17,EVENTOUT</t>
  </si>
  <si>
    <t>PD13</t>
  </si>
  <si>
    <t>LPTIM1_OUT,TIM4_CH2, I2C4_SDA,QUADSPI_BK1_IO3,SAI2_SCK_A, FMC_A18,EVENTOUT</t>
  </si>
  <si>
    <t>PD14</t>
  </si>
  <si>
    <t>TIM4_CH3,SAI3_MCLK_B,UART8_CTS,FMC_D0/FMC_DA0,EVENTOUT</t>
  </si>
  <si>
    <t>PD15</t>
  </si>
  <si>
    <t>TIM4_CH4,SAI3_MCLK_A,UART8_RTS/UART8_DE, FMC_D1/FMC_DA1,EVENTOUT</t>
  </si>
  <si>
    <t>PD2</t>
  </si>
  <si>
    <t>CS for Mag</t>
  </si>
  <si>
    <t>TRACED2, TIM3_ETR,UART5_RX,SDMMC1_CMD,DCMI_D11, EVENTOUT</t>
  </si>
  <si>
    <t>PD3</t>
  </si>
  <si>
    <t>SPI2_SCK</t>
  </si>
  <si>
    <t>DFSDM1_CKOUT,SPI2_SCK/I2S2_CK,USART2_CTS/USART2_NSS, FMC_CLK,DCMI_D5, LCD_G7,EVENTOUT</t>
  </si>
  <si>
    <t>PD4</t>
  </si>
  <si>
    <t>CS for IMU1</t>
  </si>
  <si>
    <t>HRTIM_FLT3,SAI3_FS_A,USART2_RTS/USART2_DE, FMC_NOE,EVENTOUT</t>
  </si>
  <si>
    <t>PD5</t>
  </si>
  <si>
    <t>CS for IMU2</t>
  </si>
  <si>
    <t>HRTIM_EEV3,USART2_TX,FMC_NWE, EVENTOUT</t>
  </si>
  <si>
    <t>PD6</t>
  </si>
  <si>
    <t>CS for IMU3</t>
  </si>
  <si>
    <t>SAI1_D1,DFSDM1_CKIN4,DFSDM1_DATIN1,SPI3_MOSI/I2S3_SDO,SAI1_SD_A,USART2_RX,SAI4_SD_A, SAI4_D1,SDMMC2_CK,FMC_NWAIT,DCMI_D10, LCD_B2,EVENTOUT</t>
  </si>
  <si>
    <t>PD7</t>
  </si>
  <si>
    <t>SPI1_MOSI</t>
  </si>
  <si>
    <t>DFSDM1_DATIN4,SPI1_MOSI/I2S1_SDO,DFSDM1_CKIN1,USART2_CK,SPDIFRX1_IN1,SDMMC2_CMD,FMC_NE1, EVENTOUT</t>
  </si>
  <si>
    <t>PD8</t>
  </si>
  <si>
    <t>CS for Acc.</t>
  </si>
  <si>
    <t>DFSDM1_CKIN3,SAI3_SCK_B,USART3_TX,SPDIFRX1_IN2,FMC_D13/FMC_DA13,EVENTOUT</t>
  </si>
  <si>
    <t>PD9</t>
  </si>
  <si>
    <t>CS for Baro1</t>
  </si>
  <si>
    <t>DFSDM1_DATIN3,SAI3_SD_B,USART3_RX,FMC_D14/FMC_DA14,EVENTOUT</t>
  </si>
  <si>
    <t>PE0</t>
  </si>
  <si>
    <t>UART8_RX</t>
  </si>
  <si>
    <t>LPTIM1_ETR,TIM4_ETR,HRTIM_SCIN,LPTIM2_ETR,UART8_RX,SAI2_MCLK_A,FMC_NBL0, DCMI_D2,EVENTOUT</t>
  </si>
  <si>
    <t>PE1</t>
  </si>
  <si>
    <t>UART8_TX</t>
  </si>
  <si>
    <t>LPTIM1_IN2,HRTIM_SCOUT,UART8_TX, FMC_NBL1,DCMI_D3, EVENTOUT</t>
  </si>
  <si>
    <t>PE10</t>
  </si>
  <si>
    <t>TIM1_CH2N</t>
  </si>
  <si>
    <t>COMP2_INM</t>
  </si>
  <si>
    <t>TIM1_CH2N,DFSDM1_DATIN4,UART7_CTS,QUADSPI_BK2_IO3,FMC_D7/FMC_DA7,EVENTOUT</t>
  </si>
  <si>
    <t>PE11</t>
  </si>
  <si>
    <t>TIM1_CH2</t>
  </si>
  <si>
    <t>COMP2_INP</t>
  </si>
  <si>
    <t>TIM1_CH2,DFSDM1_CKIN4,SPI4_NSS, SAI2_SD_B,FMC_D8/FMC_DA8,LCD_G3, EVENTOUT</t>
  </si>
  <si>
    <t>PE12</t>
  </si>
  <si>
    <t>TIM1_CH3N</t>
  </si>
  <si>
    <t>SPI4_SCK</t>
  </si>
  <si>
    <t>TIM1_CH3N,DFSDM1_DATIN5,SPI4_SCK,SAI2_SCK_B,FMC_D9/FMC_DA9,COMP1_OUT, LCD_B4,EVENTOUT</t>
  </si>
  <si>
    <t>PE13</t>
  </si>
  <si>
    <t>TIM1_CH3</t>
  </si>
  <si>
    <t>SPI4_MISO</t>
  </si>
  <si>
    <t>TIM1_CH3,DFSDM1_CKIN5,SPI4_MISO, SAI2_FS_B,FMC_D10/FMC_DA10,COMP2_OUT, LCD_DE,EVENTOUT</t>
  </si>
  <si>
    <t>PE14</t>
  </si>
  <si>
    <t>TIM1_CH4</t>
  </si>
  <si>
    <t>SPI4_MOSI</t>
  </si>
  <si>
    <t>TIM1_CH4, SPI4_MOSI,SAI2_MCLK_B,FMC_D11/FMC_DA11,LCD_CLK, EVENTOUT</t>
  </si>
  <si>
    <t>PE15</t>
  </si>
  <si>
    <t>TIM1_BKIN,FMC_D12/FMC_DA12,TIM1_BKIN_COMP12/COMP_TIM1_BKIN,LCD_R7, EVENTOUT</t>
  </si>
  <si>
    <t>PE2</t>
  </si>
  <si>
    <t>TRACECLK, SAI1_CK1,SPI4_SCK,SAI1_MCLK_A,SAI4_MCLK_A,QUADSPI_BK1_IO2,SAI4_CK1,ETH_MII_TXD3,FMC_A23, EVENTOUT</t>
  </si>
  <si>
    <t>PE3</t>
  </si>
  <si>
    <t>CS for Baro2</t>
  </si>
  <si>
    <t>TRACED0, TIM15_BKIN,SAI1_SD_B, SAI4_SD_B,FMC_A19, EVENTOUT</t>
  </si>
  <si>
    <t>PE4</t>
  </si>
  <si>
    <t>CS for Baro3</t>
  </si>
  <si>
    <t>TRACED1, SAI1_D2,DFSDM1_DATIN3,TIM15_CH1N,SPI4_NSS, SAI1_FS_A,SAI4_FS_A, SAI4_D2,FMC_A20, DCMI_D4,LCD_B0, EVENTOUT</t>
  </si>
  <si>
    <t>PE5</t>
  </si>
  <si>
    <t>TRACED2, SAI1_CK2,DFSDM1_CKIN3,TIM15_CH1, SPI4_MISO,SAI1_SCK_A,SAI4_SCK_A, SAI4_CK2,FMC_A21, DCMI_D6,LCD_G0, EVENTOUT</t>
  </si>
  <si>
    <t>PE6</t>
  </si>
  <si>
    <t>TRACED3, TIM1_BKIN2,SAI1_D1, TIM15_CH2,SPI4_MOSI, SAI1_SD_A,SAI4_SD_A, SAI4_D1,SAI2_MCLK_B,TIM1_BKIN2_COMP12,FMC_A22, DCMI_D7,LCD_G1, EVENTOUT</t>
  </si>
  <si>
    <t>PE7</t>
  </si>
  <si>
    <t>UART7_RX</t>
  </si>
  <si>
    <t>OPAMP2_VOUT,COMP2_INM</t>
  </si>
  <si>
    <t>TIM1_ETR,DFSDM1_DATIN2,UART7_RX,QUADSPI_BK2_IO0,FMC_D4/FMC_DA4,EVENTOUT</t>
  </si>
  <si>
    <t>PE8</t>
  </si>
  <si>
    <t>TIM1_CH1N</t>
  </si>
  <si>
    <t>UART7_TX</t>
  </si>
  <si>
    <t>OPAMP2_VINM</t>
  </si>
  <si>
    <t>TIM1_CH1N,DFSDM1_CKIN2,UART7_TX,QUADSPI_BK2_IO1,FMC_D5/FMC_DA5,COMP2_OUT,EVENTOUT</t>
  </si>
  <si>
    <t>PE9</t>
  </si>
  <si>
    <t>TIM1_CH1</t>
  </si>
  <si>
    <t>OPAMP2_VINP,COMP2_INP</t>
  </si>
  <si>
    <t>TIM1_CH1,DFSDM1_CKOUT,UART7_RTS/UART7_DE, QUADSPI_BK2_IO2,FMC_D6/FMC_DA6,EVENTOUT</t>
  </si>
  <si>
    <t>PH0-OSC_IN</t>
  </si>
  <si>
    <t>OSC_IN</t>
  </si>
  <si>
    <t>PH1-OSC_OUT</t>
  </si>
  <si>
    <t>OSC_OUT</t>
  </si>
  <si>
    <t>VBAT</t>
  </si>
  <si>
    <t>VCAP</t>
  </si>
  <si>
    <t>VDD</t>
  </si>
  <si>
    <t>VDDA</t>
  </si>
  <si>
    <t>VREF+</t>
  </si>
  <si>
    <t>VSS</t>
  </si>
  <si>
    <t>VSSA</t>
  </si>
  <si>
    <t>Use on MB</t>
  </si>
  <si>
    <t>Comment/Function</t>
  </si>
  <si>
    <t>Pin</t>
  </si>
  <si>
    <t>Pin #</t>
  </si>
  <si>
    <t>MB Notes</t>
  </si>
  <si>
    <t>5V</t>
  </si>
  <si>
    <t>GND</t>
  </si>
  <si>
    <t>GPS</t>
  </si>
  <si>
    <t>telem.</t>
  </si>
  <si>
    <t>TIM4_CH1</t>
  </si>
  <si>
    <t>telem_CS (GPS Reset)</t>
  </si>
  <si>
    <t>can be subst. with</t>
  </si>
  <si>
    <t>TIM4_CH2</t>
  </si>
  <si>
    <t>telem_CS (GPS Safeboot)</t>
  </si>
  <si>
    <t>any GPIO output</t>
  </si>
  <si>
    <t>TIM4_CH3</t>
  </si>
  <si>
    <t>telem_CS (SPI NSS)</t>
  </si>
  <si>
    <t>depending on routing</t>
  </si>
  <si>
    <t>TIM4_CH4</t>
  </si>
  <si>
    <t>telem_CS (SPI Reset)</t>
  </si>
  <si>
    <t>needs</t>
  </si>
  <si>
    <t>Shift Register</t>
  </si>
  <si>
    <t xml:space="preserve"> </t>
  </si>
  <si>
    <t>ADC12_INN5/INP9</t>
  </si>
  <si>
    <t>ADC_REC 2 U</t>
  </si>
  <si>
    <t>ADC12_INP5</t>
  </si>
  <si>
    <t>ADC REC 2 I</t>
  </si>
  <si>
    <t>CAN</t>
  </si>
  <si>
    <t>REC 1 cont check</t>
  </si>
  <si>
    <t>REC 2 cont check</t>
  </si>
  <si>
    <t>tie to GND if not used -&gt; add. grounding for can bus</t>
  </si>
  <si>
    <t>REC 3 cont check</t>
  </si>
  <si>
    <t>Rec 4 cont check</t>
  </si>
  <si>
    <t>Recovery</t>
  </si>
  <si>
    <t>buzzer</t>
  </si>
  <si>
    <t>ethernet</t>
  </si>
  <si>
    <t xml:space="preserve">shared with </t>
  </si>
  <si>
    <t>core board</t>
  </si>
  <si>
    <t>ADC1_INP18</t>
  </si>
  <si>
    <t>ADC REC 1 U</t>
  </si>
  <si>
    <t>(flash)</t>
  </si>
  <si>
    <t>ADC1_INP17/INN16</t>
  </si>
  <si>
    <t>gnd</t>
  </si>
  <si>
    <t>ADC12_INP14</t>
  </si>
  <si>
    <t>ADC REC 1 I</t>
  </si>
  <si>
    <t>ADC high current</t>
  </si>
  <si>
    <t>ADC3_INN1/INP0</t>
  </si>
  <si>
    <t>LoRa nss</t>
  </si>
  <si>
    <t>buzzer?</t>
  </si>
  <si>
    <t>ADC_MAIN_VOLTAGE_CURRENT</t>
  </si>
  <si>
    <t>ADC_MAIN_VOLTAGE</t>
  </si>
  <si>
    <t>Other useful pins for MB</t>
  </si>
  <si>
    <t>reset, (safeboot)</t>
  </si>
  <si>
    <t>Telem (each).</t>
  </si>
  <si>
    <t>reset, busy, irq</t>
  </si>
  <si>
    <t>maybe 2 for each? discuss needs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</si>
</sst>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color rgb="FF181A1B"/>
      <name val="Arial"/>
      <scheme val="minor"/>
    </font>
    <font>
      <b/>
      <color theme="1"/>
      <name val="Arial"/>
      <scheme val="minor"/>
    </font>
    <font>
      <b/>
      <u/>
      <color rgb="FF0000FF"/>
    </font>
    <font>
      <color rgb="FF181A1B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sz val="9.0"/>
      <color theme="1"/>
      <name val="Arial"/>
      <scheme val="minor"/>
    </font>
    <font>
      <color rgb="FF666666"/>
      <name val="Arial"/>
      <scheme val="minor"/>
    </font>
    <font>
      <sz val="10.0"/>
      <color rgb="FF666666"/>
      <name val="Arial"/>
      <scheme val="minor"/>
    </font>
    <font>
      <sz val="9.0"/>
      <color rgb="FF999999"/>
      <name val="Arial"/>
      <scheme val="minor"/>
    </font>
    <font>
      <color rgb="FFCCCCCC"/>
      <name val="Arial"/>
      <scheme val="minor"/>
    </font>
    <font>
      <strike/>
      <color theme="1"/>
      <name val="Arial"/>
      <scheme val="minor"/>
    </font>
    <font>
      <color theme="1"/>
      <name val="Arial"/>
    </font>
    <font>
      <color rgb="FFFFFFFF"/>
      <name val="Arial"/>
      <scheme val="minor"/>
    </font>
    <font>
      <strike/>
      <color theme="1"/>
      <name val="Arial"/>
    </font>
    <font>
      <color rgb="FF181A1B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FF0000"/>
        <bgColor rgb="FFFF0000"/>
      </patternFill>
    </fill>
    <fill>
      <patternFill patternType="solid">
        <fgColor rgb="FF000000"/>
        <bgColor rgb="FF000000"/>
      </patternFill>
    </fill>
    <fill>
      <patternFill patternType="solid">
        <fgColor rgb="FFFFE599"/>
        <bgColor rgb="FFFFE599"/>
      </patternFill>
    </fill>
    <fill>
      <patternFill patternType="solid">
        <fgColor rgb="FF9FC5E8"/>
        <bgColor rgb="FF9FC5E8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A64D79"/>
        <bgColor rgb="FFA64D79"/>
      </patternFill>
    </fill>
    <fill>
      <patternFill patternType="solid">
        <fgColor rgb="FFF6B26B"/>
        <bgColor rgb="FFF6B26B"/>
      </patternFill>
    </fill>
    <fill>
      <patternFill patternType="solid">
        <fgColor rgb="FFE69138"/>
        <bgColor rgb="FFE69138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3" fontId="5" numFmtId="0" xfId="0" applyFill="1" applyFont="1"/>
    <xf borderId="0" fillId="3" fontId="5" numFmtId="0" xfId="0" applyAlignment="1" applyFont="1">
      <alignment readingOrder="0"/>
    </xf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Alignment="1" applyFont="1">
      <alignment readingOrder="0"/>
    </xf>
    <xf borderId="0" fillId="0" fontId="9" numFmtId="0" xfId="0" applyFont="1"/>
    <xf borderId="0" fillId="0" fontId="8" numFmtId="0" xfId="0" applyFont="1"/>
    <xf borderId="0" fillId="0" fontId="5" numFmtId="0" xfId="0" applyAlignment="1" applyFont="1">
      <alignment readingOrder="0"/>
    </xf>
    <xf borderId="0" fillId="0" fontId="10" numFmtId="0" xfId="0" applyFont="1"/>
    <xf borderId="0" fillId="0" fontId="9" numFmtId="0" xfId="0" applyAlignment="1" applyFont="1">
      <alignment readingOrder="0"/>
    </xf>
    <xf borderId="0" fillId="4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5" fontId="10" numFmtId="0" xfId="0" applyFill="1" applyFont="1"/>
    <xf borderId="0" fillId="3" fontId="11" numFmtId="0" xfId="0" applyFont="1"/>
    <xf borderId="0" fillId="0" fontId="12" numFmtId="0" xfId="0" applyAlignment="1" applyFont="1">
      <alignment readingOrder="0"/>
    </xf>
    <xf borderId="0" fillId="0" fontId="12" numFmtId="0" xfId="0" applyFont="1"/>
    <xf borderId="0" fillId="6" fontId="13" numFmtId="0" xfId="0" applyAlignment="1" applyFill="1" applyFont="1">
      <alignment readingOrder="0" vertical="bottom"/>
    </xf>
    <xf borderId="0" fillId="7" fontId="14" numFmtId="0" xfId="0" applyAlignment="1" applyFill="1" applyFont="1">
      <alignment readingOrder="0"/>
    </xf>
    <xf borderId="0" fillId="0" fontId="13" numFmtId="0" xfId="0" applyAlignment="1" applyFont="1">
      <alignment vertical="bottom"/>
    </xf>
    <xf borderId="0" fillId="8" fontId="14" numFmtId="0" xfId="0" applyAlignment="1" applyFill="1" applyFont="1">
      <alignment readingOrder="0"/>
    </xf>
    <xf borderId="0" fillId="9" fontId="13" numFmtId="0" xfId="0" applyAlignment="1" applyFill="1" applyFont="1">
      <alignment vertical="bottom"/>
    </xf>
    <xf borderId="0" fillId="10" fontId="4" numFmtId="0" xfId="0" applyAlignment="1" applyFill="1" applyFont="1">
      <alignment readingOrder="0"/>
    </xf>
    <xf borderId="0" fillId="11" fontId="13" numFmtId="0" xfId="0" applyAlignment="1" applyFill="1" applyFont="1">
      <alignment vertical="bottom"/>
    </xf>
    <xf borderId="0" fillId="6" fontId="4" numFmtId="0" xfId="0" applyAlignment="1" applyFont="1">
      <alignment readingOrder="0"/>
    </xf>
    <xf borderId="0" fillId="10" fontId="5" numFmtId="0" xfId="0" applyAlignment="1" applyFont="1">
      <alignment readingOrder="0"/>
    </xf>
    <xf borderId="0" fillId="12" fontId="4" numFmtId="0" xfId="0" applyAlignment="1" applyFill="1" applyFont="1">
      <alignment readingOrder="0"/>
    </xf>
    <xf borderId="0" fillId="6" fontId="13" numFmtId="0" xfId="0" applyAlignment="1" applyFont="1">
      <alignment vertical="bottom"/>
    </xf>
    <xf borderId="0" fillId="13" fontId="13" numFmtId="0" xfId="0" applyAlignment="1" applyFill="1" applyFont="1">
      <alignment vertical="bottom"/>
    </xf>
    <xf borderId="0" fillId="14" fontId="4" numFmtId="0" xfId="0" applyAlignment="1" applyFill="1" applyFont="1">
      <alignment readingOrder="0"/>
    </xf>
    <xf borderId="0" fillId="15" fontId="4" numFmtId="0" xfId="0" applyAlignment="1" applyFill="1" applyFont="1">
      <alignment readingOrder="0"/>
    </xf>
    <xf borderId="0" fillId="0" fontId="13" numFmtId="0" xfId="0" applyAlignment="1" applyFont="1">
      <alignment readingOrder="0" vertical="bottom"/>
    </xf>
    <xf borderId="0" fillId="16" fontId="13" numFmtId="0" xfId="0" applyAlignment="1" applyFill="1" applyFont="1">
      <alignment vertical="bottom"/>
    </xf>
    <xf borderId="0" fillId="6" fontId="13" numFmtId="0" xfId="0" applyAlignment="1" applyFont="1">
      <alignment vertical="bottom"/>
    </xf>
    <xf borderId="0" fillId="17" fontId="4" numFmtId="0" xfId="0" applyAlignment="1" applyFill="1" applyFont="1">
      <alignment readingOrder="0"/>
    </xf>
    <xf borderId="0" fillId="16" fontId="13" numFmtId="0" xfId="0" applyAlignment="1" applyFont="1">
      <alignment vertical="bottom"/>
    </xf>
    <xf borderId="0" fillId="9" fontId="15" numFmtId="0" xfId="0" applyAlignment="1" applyFont="1">
      <alignment vertical="bottom"/>
    </xf>
    <xf borderId="0" fillId="11" fontId="15" numFmtId="0" xfId="0" applyAlignment="1" applyFont="1">
      <alignment vertical="bottom"/>
    </xf>
    <xf borderId="0" fillId="12" fontId="5" numFmtId="0" xfId="0" applyAlignment="1" applyFont="1">
      <alignment readingOrder="0"/>
    </xf>
    <xf borderId="0" fillId="12" fontId="16" numFmtId="0" xfId="0" applyAlignment="1" applyFont="1">
      <alignment readingOrder="0" vertical="bottom"/>
    </xf>
    <xf borderId="0" fillId="18" fontId="5" numFmtId="0" xfId="0" applyAlignment="1" applyFill="1" applyFont="1">
      <alignment readingOrder="0"/>
    </xf>
  </cellXfs>
  <cellStyles count="1">
    <cellStyle xfId="0" name="Normal" builtinId="0"/>
  </cellStyles>
  <dxfs count="19"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CC4125"/>
          <bgColor rgb="FFCC4125"/>
        </patternFill>
      </fill>
      <border/>
    </dxf>
    <dxf>
      <font/>
      <fill>
        <patternFill patternType="solid">
          <fgColor rgb="FFF6B26B"/>
          <bgColor rgb="FFF6B26B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6FA8DC"/>
          <bgColor rgb="FF6FA8DC"/>
        </patternFill>
      </fill>
      <border/>
    </dxf>
    <dxf>
      <font/>
      <fill>
        <patternFill patternType="solid">
          <fgColor rgb="FF3C78D8"/>
          <bgColor rgb="FF3C78D8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t.com/resource/en/datasheet/stm32h743bi.pd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20.0"/>
    <col customWidth="1" min="3" max="3" width="13.13"/>
    <col customWidth="1" min="4" max="4" width="3.88"/>
    <col customWidth="1" min="5" max="6" width="22.38"/>
    <col customWidth="1" min="7" max="7" width="16.63"/>
    <col customWidth="1" min="8" max="8" width="22.13"/>
    <col customWidth="1" hidden="1" min="9" max="9" width="20.88"/>
    <col customWidth="1" hidden="1" min="10" max="10" width="8.63"/>
    <col customWidth="1" hidden="1" min="11" max="11" width="21.88"/>
    <col customWidth="1" min="12" max="12" width="35.13"/>
    <col customWidth="1" min="13" max="13" width="16.38"/>
    <col customWidth="1" min="14" max="14" width="10.5"/>
    <col customWidth="1" min="15" max="15" width="16.63"/>
    <col customWidth="1" min="16" max="16" width="85.5"/>
    <col customWidth="1" min="17" max="17" width="46.13"/>
    <col customWidth="1" min="18" max="18" width="3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3" t="s">
        <v>18</v>
      </c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</row>
    <row r="2">
      <c r="A2" s="5">
        <v>94.0</v>
      </c>
      <c r="B2" s="6" t="s">
        <v>19</v>
      </c>
      <c r="C2" s="7"/>
      <c r="D2" s="8" t="str">
        <f>IF(COUNTIF(ConnectorPins!$F$2:$F$999, B2) &gt; 0, MATCH(B2, ConnectorPins!$F$2:$F$999, 0), IF(COUNTIF(ConnectorPins!$I$2:$I$999, B2) &gt; 0, MATCH(B2, ConnectorPins!$I$2:$I$999, 0), ""))</f>
        <v/>
      </c>
      <c r="E2" s="7"/>
      <c r="F2" s="7"/>
      <c r="G2" s="9" t="str">
        <f>IFERROR(__xludf.DUMMYFUNCTION("TRIM(REGEXREPLACE(Q2 , ""ADC(._[A-Z0-9]*)|."" , ""$1 "")  )"),"")</f>
        <v/>
      </c>
      <c r="I2" s="9" t="str">
        <f>IFERROR(__xludf.DUMMYFUNCTION("TRIM(REGEXREPLACE(R2 , ""SPI(._(MOSI|MISO|SCK))|."" , ""$1 "")  )"),"")</f>
        <v/>
      </c>
      <c r="J2" s="10" t="str">
        <f>IFERROR(__xludf.DUMMYFUNCTION("TRIM(REGEXREPLACE(R2 , ""FDCAN(._[\w_]+)|."" , ""$1 "")  )"),"")</f>
        <v/>
      </c>
      <c r="K2" s="11" t="str">
        <f>IFERROR(__xludf.DUMMYFUNCTION("TRIM(REGEXREPLACE(R2 , ""ETH_([\w_]+)|."" , ""$1 "")  )"),"")</f>
        <v/>
      </c>
      <c r="L2" s="9" t="str">
        <f>IFERROR(__xludf.DUMMYFUNCTION("TRIM(REGEXREPLACE(R2 , ""TIM(._\w+)|."" , ""$1 "")  )"),"")</f>
        <v/>
      </c>
      <c r="M2" s="11" t="str">
        <f>IFERROR(__xludf.DUMMYFUNCTION("TRIM(REGEXREPLACE(R2 , ""OTG_([\w_]+)|."" , ""$1 "") )"),"")</f>
        <v/>
      </c>
      <c r="N2" s="9" t="str">
        <f>IFERROR(__xludf.DUMMYFUNCTION("TRIM(REGEXREPLACE(R2 , ""US?ART(._(TX|RX))|."" , ""$1 "")  )"),"")</f>
        <v/>
      </c>
      <c r="O2" s="9" t="str">
        <f>IFERROR(__xludf.DUMMYFUNCTION("TRIM(REGEXREPLACE(Q2 , ""DAC(\d+_OUT\d+)|."" , ""$1 "")  )"),"")</f>
        <v/>
      </c>
      <c r="P2" s="9" t="str">
        <f>IFERROR(__xludf.DUMMYFUNCTION("TRIM(REGEXREPLACE(REGEXREPLACE(R2, "","", "" ""), ""(EVENTOUT|TRACECLK|TRACED.|SPI._[^ ]*|SAI._[^ ]*|ETH_[^ ]*|QUADSPI_[^ ]*|FMC_[^ ]*|UART._[^ ]*|FDCAN._[^ ]*|DFSDM._[^ ]*|OTG_[^ ]*|TIM\d+_[^ ]*)( |$)"", "" ""))"),"")</f>
        <v/>
      </c>
      <c r="Q2" s="12" t="s">
        <v>20</v>
      </c>
      <c r="R2" s="13"/>
    </row>
    <row r="3">
      <c r="A3" s="5">
        <v>14.0</v>
      </c>
      <c r="B3" s="6" t="s">
        <v>21</v>
      </c>
      <c r="C3" s="7"/>
      <c r="D3" s="8" t="str">
        <f>IF(COUNTIF(ConnectorPins!$F$2:$F$999, B3) &gt; 0, MATCH(B3, ConnectorPins!$F$2:$F$999, 0), IF(COUNTIF(ConnectorPins!$I$2:$I$999, B3) &gt; 0, MATCH(B3, ConnectorPins!$I$2:$I$999, 0) + 35, ""))</f>
        <v/>
      </c>
      <c r="E3" s="7"/>
      <c r="F3" s="7"/>
      <c r="G3" s="9" t="str">
        <f>IFERROR(__xludf.DUMMYFUNCTION("TRIM(REGEXREPLACE(Q3 , ""ADC(._[A-Z0-9]*)|."" , ""$1 "")  )"),"")</f>
        <v/>
      </c>
      <c r="I3" s="9" t="str">
        <f>IFERROR(__xludf.DUMMYFUNCTION("TRIM(REGEXREPLACE(R3 , ""SPI(._(MOSI|MISO|SCK))|."" , ""$1 "")  )"),"")</f>
        <v/>
      </c>
      <c r="J3" s="10" t="str">
        <f>IFERROR(__xludf.DUMMYFUNCTION("TRIM(REGEXREPLACE(R3 , ""FDCAN(._[\w_]+)|."" , ""$1 "")  )"),"")</f>
        <v/>
      </c>
      <c r="K3" s="11" t="str">
        <f>IFERROR(__xludf.DUMMYFUNCTION("TRIM(REGEXREPLACE(R3 , ""ETH_([\w_]+)|."" , ""$1 "")  )"),"")</f>
        <v/>
      </c>
      <c r="L3" s="9" t="str">
        <f>IFERROR(__xludf.DUMMYFUNCTION("TRIM(REGEXREPLACE(R3 , ""TIM(._\w+)|."" , ""$1 "")  )"),"")</f>
        <v/>
      </c>
      <c r="M3" s="11" t="str">
        <f>IFERROR(__xludf.DUMMYFUNCTION("TRIM(REGEXREPLACE(R3 , ""OTG_([\w_]+)|."" , ""$1 "") )"),"")</f>
        <v/>
      </c>
      <c r="N3" s="9" t="str">
        <f>IFERROR(__xludf.DUMMYFUNCTION("TRIM(REGEXREPLACE(R3 , ""US?ART(._(TX|RX))|."" , ""$1 "")  )"),"")</f>
        <v/>
      </c>
      <c r="O3" s="9" t="str">
        <f>IFERROR(__xludf.DUMMYFUNCTION("TRIM(REGEXREPLACE(Q3 , ""DAC(\d+_OUT\d+)|."" , ""$1 "")  )"),"")</f>
        <v/>
      </c>
      <c r="P3" s="9" t="str">
        <f>IFERROR(__xludf.DUMMYFUNCTION("TRIM(REGEXREPLACE(REGEXREPLACE(R3, "","", "" ""), ""(EVENTOUT|TRACECLK|TRACED.|SPI._[^ ]*|SAI._[^ ]*|ETH_[^ ]*|QUADSPI_[^ ]*|FMC_[^ ]*|UART._[^ ]*|FDCAN._[^ ]*|DFSDM._[^ ]*|OTG_[^ ]*|TIM\d+_[^ ]*)( |$)"", "" ""))"),"")</f>
        <v/>
      </c>
      <c r="Q3" s="14"/>
      <c r="R3" s="13"/>
    </row>
    <row r="4">
      <c r="A4" s="5">
        <v>22.0</v>
      </c>
      <c r="B4" s="5" t="s">
        <v>22</v>
      </c>
      <c r="D4" s="15">
        <f>IF(COUNTIF(ConnectorPins!$F$2:$F$999, B4) &gt; 0, MATCH(B4, ConnectorPins!$F$2:$F$999, 0), IF(COUNTIF(ConnectorPins!$I$2:$I$999, B4) &gt; 0, MATCH(B4, ConnectorPins!$I$2:$I$999, 0) + 35, ""))</f>
        <v>59</v>
      </c>
      <c r="F4" s="15" t="s">
        <v>23</v>
      </c>
      <c r="G4" s="10" t="str">
        <f>IFERROR(__xludf.DUMMYFUNCTION("TRIM(REGEXREPLACE(Q4 , ""ADC(\d+_(INN\d+|INP\d+)*)|."" , ""$1 "")  )"),"1_INP16")</f>
        <v>1_INP16</v>
      </c>
      <c r="I4" s="9" t="str">
        <f>IFERROR(__xludf.DUMMYFUNCTION("TRIM(REGEXREPLACE(R4 , ""SPI(._(MOSI|MISO|SCK))|."" , ""$1 "")  )"),"")</f>
        <v/>
      </c>
      <c r="J4" s="10" t="str">
        <f>IFERROR(__xludf.DUMMYFUNCTION("TRIM(REGEXREPLACE(R4 , ""FDCAN(._[\w_]+)|."" , ""$1 "")  )"),"")</f>
        <v/>
      </c>
      <c r="K4" s="16" t="str">
        <f>IFERROR(__xludf.DUMMYFUNCTION("TRIM(REGEXREPLACE(R4 , ""ETH_([\w_]+)|."" , ""$1 "")  )"),"MII_CRS")</f>
        <v>MII_CRS</v>
      </c>
      <c r="L4" s="9" t="str">
        <f>IFERROR(__xludf.DUMMYFUNCTION("TRIM(REGEXREPLACE(R4 , ""TIM(._\w+)|."" , ""$1 "")  )"),"2_CH1 2_ETR 5_CH1 8_ETR")</f>
        <v>2_CH1 2_ETR 5_CH1 8_ETR</v>
      </c>
      <c r="M4" s="11" t="str">
        <f>IFERROR(__xludf.DUMMYFUNCTION("TRIM(REGEXREPLACE(R4 , ""OTG_([\w_]+)|."" , ""$1 "") )"),"")</f>
        <v/>
      </c>
      <c r="N4" s="9" t="str">
        <f>IFERROR(__xludf.DUMMYFUNCTION("TRIM(REGEXREPLACE(R4 , ""US?ART(._(TX|RX))|."" , ""$1 "")  )"),"4_TX")</f>
        <v>4_TX</v>
      </c>
      <c r="O4" s="9" t="str">
        <f>IFERROR(__xludf.DUMMYFUNCTION("TRIM(REGEXREPLACE(Q4 , ""DAC(\d+_OUT\d+)|."" , ""$1 "")  )"),"")</f>
        <v/>
      </c>
      <c r="P4" s="9" t="str">
        <f>IFERROR(__xludf.DUMMYFUNCTION("TRIM(REGEXREPLACE(REGEXREPLACE(R4, "","", "" ""), ""(EVENTOUT|TRACECLK|TRACED.|SPI._[^ ]*|SAI._[^ ]*|ETH_[^ ]*|QUADSPI_[^ ]*|FMC_[^ ]*|UART._[^ ]*|FDCAN._[^ ]*|DFSDM._[^ ]*|OTG_[^ ]*|TIM\d+_[^ ]*)( |$)"", "" ""))"),"USART2_CTS/USART2_NSS SDMMC2_CMD")</f>
        <v>USART2_CTS/USART2_NSS SDMMC2_CMD</v>
      </c>
      <c r="Q4" s="12" t="s">
        <v>24</v>
      </c>
      <c r="R4" s="17" t="s">
        <v>25</v>
      </c>
    </row>
    <row r="5">
      <c r="A5" s="5">
        <v>23.0</v>
      </c>
      <c r="B5" s="18" t="s">
        <v>26</v>
      </c>
      <c r="C5" s="7"/>
      <c r="D5" s="15">
        <f>IF(COUNTIF(ConnectorPins!$F$2:$F$999, B5) &gt; 0, MATCH(B5, ConnectorPins!$F$2:$F$999, 0), IF(COUNTIF(ConnectorPins!$I$2:$I$999, B5) &gt; 0, MATCH(B5, ConnectorPins!$I$2:$I$999, 0) + 35, ""))</f>
        <v>60</v>
      </c>
      <c r="E5" s="15" t="s">
        <v>27</v>
      </c>
      <c r="F5" s="15" t="s">
        <v>28</v>
      </c>
      <c r="G5" s="10" t="str">
        <f>IFERROR(__xludf.DUMMYFUNCTION("TRIM(REGEXREPLACE(Q5 , ""ADC(\d+_(INN\d+|INP\d+)*)|."" , ""$1 "")  )"),"1_INN16 1_INP17")</f>
        <v>1_INN16 1_INP17</v>
      </c>
      <c r="I5" s="9" t="str">
        <f>IFERROR(__xludf.DUMMYFUNCTION("TRIM(REGEXREPLACE(R5 , ""SPI(._(MOSI|MISO|SCK))|."" , ""$1 "")  )"),"")</f>
        <v/>
      </c>
      <c r="J5" s="10" t="str">
        <f>IFERROR(__xludf.DUMMYFUNCTION("TRIM(REGEXREPLACE(R5 , ""FDCAN(._[\w_]+)|."" , ""$1 "")  )"),"")</f>
        <v/>
      </c>
      <c r="K5" s="16" t="str">
        <f>IFERROR(__xludf.DUMMYFUNCTION("TRIM(REGEXREPLACE(R5 , ""ETH_([\w_]+)|."" , ""$1 "")  )"),"MII_RX_CLK RMII_REF_CLK")</f>
        <v>MII_RX_CLK RMII_REF_CLK</v>
      </c>
      <c r="L5" s="9" t="str">
        <f>IFERROR(__xludf.DUMMYFUNCTION("TRIM(REGEXREPLACE(R5 , ""TIM(._\w+)|."" , ""$1 "")  )"),"2_CH2 5_CH2 3_OUT")</f>
        <v>2_CH2 5_CH2 3_OUT</v>
      </c>
      <c r="M5" s="11" t="str">
        <f>IFERROR(__xludf.DUMMYFUNCTION("TRIM(REGEXREPLACE(R5 , ""OTG_([\w_]+)|."" , ""$1 "") )"),"")</f>
        <v/>
      </c>
      <c r="N5" s="9" t="str">
        <f>IFERROR(__xludf.DUMMYFUNCTION("TRIM(REGEXREPLACE(R5 , ""US?ART(._(TX|RX))|."" , ""$1 "")  )"),"4_RX")</f>
        <v>4_RX</v>
      </c>
      <c r="O5" s="9" t="str">
        <f>IFERROR(__xludf.DUMMYFUNCTION("TRIM(REGEXREPLACE(Q5 , ""DAC(\d+_OUT\d+)|."" , ""$1 "")  )"),"")</f>
        <v/>
      </c>
      <c r="P5" s="9" t="str">
        <f>IFERROR(__xludf.DUMMYFUNCTION("TRIM(REGEXREPLACE(REGEXREPLACE(R5, "","", "" ""), ""(EVENTOUT|TRACECLK|TRACED.|SPI._[^ ]*|SAI._[^ ]*|ETH_[^ ]*|QUADSPI_[^ ]*|FMC_[^ ]*|UART._[^ ]*|FDCAN._[^ ]*|DFSDM._[^ ]*|OTG_[^ ]*|TIM\d+_[^ ]*)( |$)"", "" ""))"),"LP USART2_RTS/USART2_DE LCD_R2")</f>
        <v>LP USART2_RTS/USART2_DE LCD_R2</v>
      </c>
      <c r="Q5" s="12" t="s">
        <v>29</v>
      </c>
      <c r="R5" s="17" t="s">
        <v>30</v>
      </c>
    </row>
    <row r="6">
      <c r="A6" s="5">
        <v>69.0</v>
      </c>
      <c r="B6" s="5" t="s">
        <v>31</v>
      </c>
      <c r="C6" s="15" t="s">
        <v>32</v>
      </c>
      <c r="D6" s="15" t="str">
        <f>IF(COUNTIF(ConnectorPins!$F$2:$F$999, B6) &gt; 0, MATCH(B6, ConnectorPins!$F$2:$F$999, 0), IF(COUNTIF(ConnectorPins!$I$2:$I$999, B6) &gt; 0, MATCH(B6, ConnectorPins!$I$2:$I$999, 0), ""))</f>
        <v/>
      </c>
      <c r="G6" s="9" t="str">
        <f>IFERROR(__xludf.DUMMYFUNCTION("TRIM(REGEXREPLACE(Q6 , ""ADC(\d+_(INN\d+|INP\d+)*)|."" , ""$1 "")  )"),"")</f>
        <v/>
      </c>
      <c r="H6" s="15" t="s">
        <v>33</v>
      </c>
      <c r="I6" s="9" t="str">
        <f>IFERROR(__xludf.DUMMYFUNCTION("TRIM(REGEXREPLACE(R6 , ""SPI(._(MOSI|MISO|SCK))|."" , ""$1 "")  )"),"")</f>
        <v/>
      </c>
      <c r="J6" s="10" t="str">
        <f>IFERROR(__xludf.DUMMYFUNCTION("TRIM(REGEXREPLACE(R6 , ""FDCAN(._[\w_]+)|."" , ""$1 "")  )"),"")</f>
        <v/>
      </c>
      <c r="K6" s="16" t="str">
        <f>IFERROR(__xludf.DUMMYFUNCTION("TRIM(REGEXREPLACE(R6 , ""ETH_([\w_]+)|."" , ""$1 "")  )"),"")</f>
        <v/>
      </c>
      <c r="L6" s="9" t="str">
        <f>IFERROR(__xludf.DUMMYFUNCTION("TRIM(REGEXREPLACE(R6 , ""TIM(._\w+)|."" , ""$1 "")  )"),"1_CH3")</f>
        <v>1_CH3</v>
      </c>
      <c r="M6" s="11" t="str">
        <f>IFERROR(__xludf.DUMMYFUNCTION("TRIM(REGEXREPLACE(R6 , ""OTG_([\w_]+)|."" , ""$1 "") )"),"FS_ID")</f>
        <v>FS_ID</v>
      </c>
      <c r="N6" s="9" t="str">
        <f>IFERROR(__xludf.DUMMYFUNCTION("TRIM(REGEXREPLACE(R6 , ""US?ART(._(TX|RX))|."" , ""$1 "")  )"),"1_RX 1_RX")</f>
        <v>1_RX 1_RX</v>
      </c>
      <c r="O6" s="9" t="str">
        <f>IFERROR(__xludf.DUMMYFUNCTION("TRIM(REGEXREPLACE(Q6 , ""DAC(\d+_OUT\d+)|."" , ""$1 "")  )"),"")</f>
        <v/>
      </c>
      <c r="P6" s="9" t="str">
        <f>IFERROR(__xludf.DUMMYFUNCTION("TRIM(REGEXREPLACE(REGEXREPLACE(R6, "","", "" ""), ""(EVENTOUT|TRACECLK|TRACED.|SPI._[^ ]*|SAI._[^ ]*|ETH_[^ ]*|QUADSPI_[^ ]*|FMC_[^ ]*|UART._[^ ]*|FDCAN._[^ ]*|DFSDM._[^ ]*|OTG_[^ ]*|TIM\d+_[^ ]*)( |$)"", "" ""))"),"HRTIM_CHC2 LP USART1_RX MDIOS_MDIO LCD_B4 DCMI_D1 LCD_B1")</f>
        <v>HRTIM_CHC2 LP USART1_RX MDIOS_MDIO LCD_B4 DCMI_D1 LCD_B1</v>
      </c>
      <c r="Q6" s="14"/>
      <c r="R6" s="17" t="s">
        <v>34</v>
      </c>
    </row>
    <row r="7">
      <c r="A7" s="5">
        <v>70.0</v>
      </c>
      <c r="B7" s="18" t="s">
        <v>35</v>
      </c>
      <c r="C7" s="15" t="s">
        <v>36</v>
      </c>
      <c r="D7" s="8" t="str">
        <f>IF(COUNTIF(ConnectorPins!$F$2:$F$999, B7) &gt; 0, MATCH(B7, ConnectorPins!$F$2:$F$999, 0), IF(COUNTIF(ConnectorPins!$I$2:$I$999, B7) &gt; 0, MATCH(B7, ConnectorPins!$I$2:$I$999, 0), ""))</f>
        <v/>
      </c>
      <c r="E7" s="7"/>
      <c r="F7" s="7"/>
      <c r="G7" s="9" t="str">
        <f>IFERROR(__xludf.DUMMYFUNCTION("TRIM(REGEXREPLACE(Q7 , ""ADC(\d+_(INN\d+|INP\d+)*)|."" , ""$1 "")  )"),"")</f>
        <v/>
      </c>
      <c r="I7" s="10" t="str">
        <f>IFERROR(__xludf.DUMMYFUNCTION("TRIM(REGEXREPLACE(R7 , ""SPI(._(MOSI|MISO|SCK))|."" , ""$1 "")  )"),"")</f>
        <v/>
      </c>
      <c r="J7" s="10" t="str">
        <f>IFERROR(__xludf.DUMMYFUNCTION("TRIM(REGEXREPLACE(R7 , ""FDCAN(._[\w_]+)|."" , ""$1 "")  )"),"1_RX")</f>
        <v>1_RX</v>
      </c>
      <c r="K7" s="16" t="str">
        <f>IFERROR(__xludf.DUMMYFUNCTION("TRIM(REGEXREPLACE(R7 , ""ETH_([\w_]+)|."" , ""$1 "")  )"),"")</f>
        <v/>
      </c>
      <c r="L7" s="10" t="str">
        <f>IFERROR(__xludf.DUMMYFUNCTION("TRIM(REGEXREPLACE(R7 , ""TIM(._\w+)|."" , ""$1 "")  )"),"1_CH4")</f>
        <v>1_CH4</v>
      </c>
      <c r="M7" s="16" t="str">
        <f>IFERROR(__xludf.DUMMYFUNCTION("TRIM(REGEXREPLACE(R7 , ""OTG_([\w_]+)|."" , ""$1 "") )"),"FS_DM")</f>
        <v>FS_DM</v>
      </c>
      <c r="N7" s="10" t="str">
        <f>IFERROR(__xludf.DUMMYFUNCTION("TRIM(REGEXREPLACE(R7 , ""US?ART(._(TX|RX))|."" , ""$1 "")  )"),"4_RX")</f>
        <v>4_RX</v>
      </c>
      <c r="O7" s="9" t="str">
        <f>IFERROR(__xludf.DUMMYFUNCTION("TRIM(REGEXREPLACE(Q7 , ""DAC(\d+_OUT\d+)|."" , ""$1 "")  )"),"")</f>
        <v/>
      </c>
      <c r="P7" s="9" t="str">
        <f>IFERROR(__xludf.DUMMYFUNCTION("TRIM(REGEXREPLACE(REGEXREPLACE(R7, "","", "" ""), ""(EVENTOUT|TRACECLK|TRACED.|SPI._[^ ]*|SAI._[^ ]*|ETH_[^ ]*|QUADSPI_[^ ]*|FMC_[^ ]*|UART._[^ ]*|FDCAN._[^ ]*|DFSDM._[^ ]*|OTG_[^ ]*|TIM\d+_[^ ]*)( |$)"", "" ""))"),"HRTIM_CHD1 LP USART1_CTS/USART1_NSS LCD_R4")</f>
        <v>HRTIM_CHD1 LP USART1_CTS/USART1_NSS LCD_R4</v>
      </c>
      <c r="Q7" s="14"/>
      <c r="R7" s="17" t="s">
        <v>37</v>
      </c>
    </row>
    <row r="8">
      <c r="A8" s="5">
        <v>71.0</v>
      </c>
      <c r="B8" s="18" t="s">
        <v>38</v>
      </c>
      <c r="C8" s="15" t="s">
        <v>39</v>
      </c>
      <c r="D8" s="8" t="str">
        <f>IF(COUNTIF(ConnectorPins!$F$2:$F$999, B8) &gt; 0, MATCH(B8, ConnectorPins!$F$2:$F$999, 0), IF(COUNTIF(ConnectorPins!$I$2:$I$999, B8) &gt; 0, MATCH(B8, ConnectorPins!$I$2:$I$999, 0), ""))</f>
        <v/>
      </c>
      <c r="E8" s="7"/>
      <c r="F8" s="7"/>
      <c r="G8" s="9" t="str">
        <f>IFERROR(__xludf.DUMMYFUNCTION("TRIM(REGEXREPLACE(Q8 , ""ADC(\d+_(INN\d+|INP\d+)*)|."" , ""$1 "")  )"),"")</f>
        <v/>
      </c>
      <c r="I8" s="10" t="str">
        <f>IFERROR(__xludf.DUMMYFUNCTION("TRIM(REGEXREPLACE(R8 , ""SPI(._(MOSI|MISO|SCK))|."" , ""$1 "")  )"),"2_SCK")</f>
        <v>2_SCK</v>
      </c>
      <c r="J8" s="10" t="str">
        <f>IFERROR(__xludf.DUMMYFUNCTION("TRIM(REGEXREPLACE(R8 , ""FDCAN(._[\w_]+)|."" , ""$1 "")  )"),"1_TX")</f>
        <v>1_TX</v>
      </c>
      <c r="K8" s="16" t="str">
        <f>IFERROR(__xludf.DUMMYFUNCTION("TRIM(REGEXREPLACE(R8 , ""ETH_([\w_]+)|."" , ""$1 "")  )"),"")</f>
        <v/>
      </c>
      <c r="L8" s="10" t="str">
        <f>IFERROR(__xludf.DUMMYFUNCTION("TRIM(REGEXREPLACE(R8 , ""TIM(._\w+)|."" , ""$1 "")  )"),"1_ETR")</f>
        <v>1_ETR</v>
      </c>
      <c r="M8" s="16" t="str">
        <f>IFERROR(__xludf.DUMMYFUNCTION("TRIM(REGEXREPLACE(R8 , ""OTG_([\w_]+)|."" , ""$1 "") )"),"FS_DP")</f>
        <v>FS_DP</v>
      </c>
      <c r="N8" s="10" t="str">
        <f>IFERROR(__xludf.DUMMYFUNCTION("TRIM(REGEXREPLACE(R8 , ""US?ART(._(TX|RX))|."" , ""$1 "")  )"),"4_TX")</f>
        <v>4_TX</v>
      </c>
      <c r="O8" s="9" t="str">
        <f>IFERROR(__xludf.DUMMYFUNCTION("TRIM(REGEXREPLACE(Q8 , ""DAC(\d+_OUT\d+)|."" , ""$1 "")  )"),"")</f>
        <v/>
      </c>
      <c r="P8" s="9" t="str">
        <f>IFERROR(__xludf.DUMMYFUNCTION("TRIM(REGEXREPLACE(REGEXREPLACE(R8, "","", "" ""), ""(EVENTOUT|TRACECLK|TRACED.|SPI._[^ ]*|SAI._[^ ]*|ETH_[^ ]*|QUADSPI_[^ ]*|FMC_[^ ]*|UART._[^ ]*|FDCAN._[^ ]*|DFSDM._[^ ]*|OTG_[^ ]*|TIM\d+_[^ ]*)( |$)"", "" ""))"),"HRTIM_CHD2 LP USART1_RTS/USART1_DE LCD_R5")</f>
        <v>HRTIM_CHD2 LP USART1_RTS/USART1_DE LCD_R5</v>
      </c>
      <c r="Q8" s="14"/>
      <c r="R8" s="17" t="s">
        <v>40</v>
      </c>
    </row>
    <row r="9">
      <c r="A9" s="5">
        <v>72.0</v>
      </c>
      <c r="B9" s="6" t="s">
        <v>41</v>
      </c>
      <c r="C9" s="7"/>
      <c r="D9" s="8" t="str">
        <f>IF(COUNTIF(ConnectorPins!$F$2:$F$999, B9) &gt; 0, MATCH(B9, ConnectorPins!$F$2:$F$999, 0), IF(COUNTIF(ConnectorPins!$I$2:$I$999, B9) &gt; 0, MATCH(B9, ConnectorPins!$I$2:$I$999, 0), ""))</f>
        <v/>
      </c>
      <c r="E9" s="7"/>
      <c r="F9" s="7"/>
      <c r="G9" s="9" t="str">
        <f>IFERROR(__xludf.DUMMYFUNCTION("TRIM(REGEXREPLACE(Q9 , ""ADC(\d+_(INN\d+|INP\d+)*)|."" , ""$1 "")  )"),"")</f>
        <v/>
      </c>
      <c r="I9" s="9" t="str">
        <f>IFERROR(__xludf.DUMMYFUNCTION("TRIM(REGEXREPLACE(R9 , ""SPI(._(MOSI|MISO|SCK))|."" , ""$1 "")  )"),"")</f>
        <v/>
      </c>
      <c r="J9" s="10" t="str">
        <f>IFERROR(__xludf.DUMMYFUNCTION("TRIM(REGEXREPLACE(R9 , ""FDCAN(._[\w_]+)|."" , ""$1 "")  )"),"")</f>
        <v/>
      </c>
      <c r="K9" s="16" t="str">
        <f>IFERROR(__xludf.DUMMYFUNCTION("TRIM(REGEXREPLACE(R9 , ""ETH_([\w_]+)|."" , ""$1 "")  )"),"")</f>
        <v/>
      </c>
      <c r="L9" s="9" t="str">
        <f>IFERROR(__xludf.DUMMYFUNCTION("TRIM(REGEXREPLACE(R9 , ""TIM(._\w+)|."" , ""$1 "")  )"),"")</f>
        <v/>
      </c>
      <c r="M9" s="11" t="str">
        <f>IFERROR(__xludf.DUMMYFUNCTION("TRIM(REGEXREPLACE(R9 , ""OTG_([\w_]+)|."" , ""$1 "") )"),"")</f>
        <v/>
      </c>
      <c r="N9" s="10" t="str">
        <f>IFERROR(__xludf.DUMMYFUNCTION("TRIM(REGEXREPLACE(R9 , ""US?ART(._(TX|RX))|."" , ""$1 "")  )"),"")</f>
        <v/>
      </c>
      <c r="O9" s="9" t="str">
        <f>IFERROR(__xludf.DUMMYFUNCTION("TRIM(REGEXREPLACE(Q9 , ""DAC(\d+_OUT\d+)|."" , ""$1 "")  )"),"")</f>
        <v/>
      </c>
      <c r="P9" s="9" t="str">
        <f>IFERROR(__xludf.DUMMYFUNCTION("TRIM(REGEXREPLACE(REGEXREPLACE(R9, "","", "" ""), ""(EVENTOUT|TRACECLK|TRACED.|SPI._[^ ]*|SAI._[^ ]*|ETH_[^ ]*|QUADSPI_[^ ]*|FMC_[^ ]*|UART._[^ ]*|FDCAN._[^ ]*|DFSDM._[^ ]*|OTG_[^ ]*|TIM\d+_[^ ]*)( |$)"", "" ""))"),"JTMS-SWDIO")</f>
        <v>JTMS-SWDIO</v>
      </c>
      <c r="Q9" s="14"/>
      <c r="R9" s="17" t="s">
        <v>42</v>
      </c>
    </row>
    <row r="10">
      <c r="A10" s="5">
        <v>76.0</v>
      </c>
      <c r="B10" s="6" t="s">
        <v>43</v>
      </c>
      <c r="C10" s="7"/>
      <c r="D10" s="8" t="str">
        <f>IF(COUNTIF(ConnectorPins!$F$2:$F$999, B10) &gt; 0, MATCH(B10, ConnectorPins!$F$2:$F$999, 0), IF(COUNTIF(ConnectorPins!$I$2:$I$999, B10) &gt; 0, MATCH(B10, ConnectorPins!$I$2:$I$999, 0), ""))</f>
        <v/>
      </c>
      <c r="E10" s="7"/>
      <c r="F10" s="7"/>
      <c r="G10" s="9" t="str">
        <f>IFERROR(__xludf.DUMMYFUNCTION("TRIM(REGEXREPLACE(Q10 , ""ADC(\d+_(INN\d+|INP\d+)*)|."" , ""$1 "")  )"),"")</f>
        <v/>
      </c>
      <c r="I10" s="9" t="str">
        <f>IFERROR(__xludf.DUMMYFUNCTION("TRIM(REGEXREPLACE(R10 , ""SPI(._(MOSI|MISO|SCK))|."" , ""$1 "")  )"),"")</f>
        <v/>
      </c>
      <c r="J10" s="10" t="str">
        <f>IFERROR(__xludf.DUMMYFUNCTION("TRIM(REGEXREPLACE(R10 , ""FDCAN(._[\w_]+)|."" , ""$1 "")  )"),"")</f>
        <v/>
      </c>
      <c r="K10" s="16" t="str">
        <f>IFERROR(__xludf.DUMMYFUNCTION("TRIM(REGEXREPLACE(R10 , ""ETH_([\w_]+)|."" , ""$1 "")  )"),"")</f>
        <v/>
      </c>
      <c r="L10" s="9" t="str">
        <f>IFERROR(__xludf.DUMMYFUNCTION("TRIM(REGEXREPLACE(R10 , ""TIM(._\w+)|."" , ""$1 "")  )"),"")</f>
        <v/>
      </c>
      <c r="M10" s="11" t="str">
        <f>IFERROR(__xludf.DUMMYFUNCTION("TRIM(REGEXREPLACE(R10 , ""OTG_([\w_]+)|."" , ""$1 "") )"),"")</f>
        <v/>
      </c>
      <c r="N10" s="10" t="str">
        <f>IFERROR(__xludf.DUMMYFUNCTION("TRIM(REGEXREPLACE(R10 , ""US?ART(._(TX|RX))|."" , ""$1 "")  )"),"")</f>
        <v/>
      </c>
      <c r="O10" s="9" t="str">
        <f>IFERROR(__xludf.DUMMYFUNCTION("TRIM(REGEXREPLACE(Q10 , ""DAC(\d+_OUT\d+)|."" , ""$1 "")  )"),"")</f>
        <v/>
      </c>
      <c r="P10" s="9" t="str">
        <f>IFERROR(__xludf.DUMMYFUNCTION("TRIM(REGEXREPLACE(REGEXREPLACE(R10, "","", "" ""), ""(EVENTOUT|TRACECLK|TRACED.|SPI._[^ ]*|SAI._[^ ]*|ETH_[^ ]*|QUADSPI_[^ ]*|FMC_[^ ]*|UART._[^ ]*|FDCAN._[^ ]*|DFSDM._[^ ]*|OTG_[^ ]*|TIM\d+_[^ ]*)( |$)"", "" ""))"),"JTCK-SWCLK")</f>
        <v>JTCK-SWCLK</v>
      </c>
      <c r="Q10" s="14"/>
      <c r="R10" s="17" t="s">
        <v>44</v>
      </c>
    </row>
    <row r="11">
      <c r="A11" s="5">
        <v>77.0</v>
      </c>
      <c r="B11" s="5" t="s">
        <v>45</v>
      </c>
      <c r="C11" s="15" t="s">
        <v>32</v>
      </c>
      <c r="D11" s="15" t="str">
        <f>IF(COUNTIF(ConnectorPins!$F$2:$F$999, B11) &gt; 0, MATCH(B11, ConnectorPins!$F$2:$F$999, 0), IF(COUNTIF(ConnectorPins!$I$2:$I$999, B11) &gt; 0, MATCH(B11, ConnectorPins!$I$2:$I$999, 0), ""))</f>
        <v/>
      </c>
      <c r="G11" s="9" t="str">
        <f>IFERROR(__xludf.DUMMYFUNCTION("TRIM(REGEXREPLACE(Q11 , ""ADC(\d+_(INN\d+|INP\d+)*)|."" , ""$1 "")  )"),"")</f>
        <v/>
      </c>
      <c r="H11" s="15" t="s">
        <v>33</v>
      </c>
      <c r="I11" s="9" t="str">
        <f>IFERROR(__xludf.DUMMYFUNCTION("TRIM(REGEXREPLACE(R11 , ""SPI(._(MOSI|MISO|SCK))|."" , ""$1 "")  )"),"")</f>
        <v/>
      </c>
      <c r="J11" s="10" t="str">
        <f>IFERROR(__xludf.DUMMYFUNCTION("TRIM(REGEXREPLACE(R11 , ""FDCAN(._[\w_]+)|."" , ""$1 "")  )"),"")</f>
        <v/>
      </c>
      <c r="K11" s="16" t="str">
        <f>IFERROR(__xludf.DUMMYFUNCTION("TRIM(REGEXREPLACE(R11 , ""ETH_([\w_]+)|."" , ""$1 "")  )"),"")</f>
        <v/>
      </c>
      <c r="L11" s="9" t="str">
        <f>IFERROR(__xludf.DUMMYFUNCTION("TRIM(REGEXREPLACE(R11 , ""TIM(._\w+)|."" , ""$1 "")  )"),"2_CH1 2_ETR")</f>
        <v>2_CH1 2_ETR</v>
      </c>
      <c r="M11" s="11" t="str">
        <f>IFERROR(__xludf.DUMMYFUNCTION("TRIM(REGEXREPLACE(R11 , ""OTG_([\w_]+)|."" , ""$1 "") )"),"")</f>
        <v/>
      </c>
      <c r="N11" s="10" t="str">
        <f>IFERROR(__xludf.DUMMYFUNCTION("TRIM(REGEXREPLACE(R11 , ""US?ART(._(TX|RX))|."" , ""$1 "")  )"),"7_TX")</f>
        <v>7_TX</v>
      </c>
      <c r="O11" s="9" t="str">
        <f>IFERROR(__xludf.DUMMYFUNCTION("TRIM(REGEXREPLACE(Q11 , ""DAC(\d+_OUT\d+)|."" , ""$1 "")  )"),"")</f>
        <v/>
      </c>
      <c r="P11" s="9" t="str">
        <f>IFERROR(__xludf.DUMMYFUNCTION("TRIM(REGEXREPLACE(REGEXREPLACE(R11, "","", "" ""), ""(EVENTOUT|TRACECLK|TRACED.|SPI._[^ ]*|SAI._[^ ]*|ETH_[^ ]*|QUADSPI_[^ ]*|FMC_[^ ]*|UART._[^ ]*|FDCAN._[^ ]*|DFSDM._[^ ]*|OTG_[^ ]*|TIM\d+_[^ ]*)( |$)"", "" ""))"),"JTDI HRTIM_FLT1 CEC")</f>
        <v>JTDI HRTIM_FLT1 CEC</v>
      </c>
      <c r="Q11" s="14"/>
      <c r="R11" s="17" t="s">
        <v>46</v>
      </c>
    </row>
    <row r="12">
      <c r="A12" s="5">
        <v>24.0</v>
      </c>
      <c r="B12" s="18" t="s">
        <v>47</v>
      </c>
      <c r="C12" s="7"/>
      <c r="D12" s="15">
        <f>IF(COUNTIF(ConnectorPins!$F$2:$F$999, B12) &gt; 0, MATCH(B12, ConnectorPins!$F$2:$F$999, 0), IF(COUNTIF(ConnectorPins!$I$2:$I$999, B12) &gt; 0, MATCH(B12, ConnectorPins!$I$2:$I$999, 0) + 35, ""))</f>
        <v>61</v>
      </c>
      <c r="E12" s="15" t="s">
        <v>48</v>
      </c>
      <c r="F12" s="15" t="s">
        <v>49</v>
      </c>
      <c r="G12" s="10" t="str">
        <f>IFERROR(__xludf.DUMMYFUNCTION("TRIM(REGEXREPLACE(Q12 , ""ADC(\d+_(INN\d+|INP\d+)*)|."" , ""$1 "")  )"),"12_INP14")</f>
        <v>12_INP14</v>
      </c>
      <c r="I12" s="9" t="str">
        <f>IFERROR(__xludf.DUMMYFUNCTION("TRIM(REGEXREPLACE(R12 , ""SPI(._(MOSI|MISO|SCK))|."" , ""$1 "")  )"),"")</f>
        <v/>
      </c>
      <c r="J12" s="10" t="str">
        <f>IFERROR(__xludf.DUMMYFUNCTION("TRIM(REGEXREPLACE(R12 , ""FDCAN(._[\w_]+)|."" , ""$1 "")  )"),"")</f>
        <v/>
      </c>
      <c r="K12" s="16" t="str">
        <f>IFERROR(__xludf.DUMMYFUNCTION("TRIM(REGEXREPLACE(R12 , ""ETH_([\w_]+)|."" , ""$1 "")  )"),"MDIO")</f>
        <v>MDIO</v>
      </c>
      <c r="L12" s="9" t="str">
        <f>IFERROR(__xludf.DUMMYFUNCTION("TRIM(REGEXREPLACE(R12 , ""TIM(._\w+)|."" , ""$1 "")  )"),"2_CH3 5_CH3 4_OUT")</f>
        <v>2_CH3 5_CH3 4_OUT</v>
      </c>
      <c r="M12" s="11" t="str">
        <f>IFERROR(__xludf.DUMMYFUNCTION("TRIM(REGEXREPLACE(R12 , ""OTG_([\w_]+)|."" , ""$1 "") )"),"")</f>
        <v/>
      </c>
      <c r="N12" s="10" t="str">
        <f>IFERROR(__xludf.DUMMYFUNCTION("TRIM(REGEXREPLACE(R12 , ""US?ART(._(TX|RX))|."" , ""$1 "")  )"),"2_TX")</f>
        <v>2_TX</v>
      </c>
      <c r="O12" s="9" t="str">
        <f>IFERROR(__xludf.DUMMYFUNCTION("TRIM(REGEXREPLACE(Q12 , ""DAC(\d+_OUT\d+)|."" , ""$1 "")  )"),"")</f>
        <v/>
      </c>
      <c r="P12" s="9" t="str">
        <f>IFERROR(__xludf.DUMMYFUNCTION("TRIM(REGEXREPLACE(REGEXREPLACE(R12, "","", "" ""), ""(EVENTOUT|TRACECLK|TRACED.|SPI._[^ ]*|SAI._[^ ]*|ETH_[^ ]*|QUADSPI_[^ ]*|FMC_[^ ]*|UART._[^ ]*|FDCAN._[^ ]*|DFSDM._[^ ]*|OTG_[^ ]*|TIM\d+_[^ ]*)( |$)"", "" ""))"),"LP USART2_TX MDIOS_MDIO LCD_R1")</f>
        <v>LP USART2_TX MDIOS_MDIO LCD_R1</v>
      </c>
      <c r="Q12" s="12" t="s">
        <v>50</v>
      </c>
      <c r="R12" s="17" t="s">
        <v>51</v>
      </c>
    </row>
    <row r="13">
      <c r="A13" s="5">
        <v>25.0</v>
      </c>
      <c r="B13" s="5" t="s">
        <v>52</v>
      </c>
      <c r="D13" s="15">
        <f>IF(COUNTIF(ConnectorPins!$F$2:$F$999, B13) &gt; 0, MATCH(B13, ConnectorPins!$F$2:$F$999, 0), IF(COUNTIF(ConnectorPins!$I$2:$I$999, B13) &gt; 0, MATCH(B13, ConnectorPins!$I$2:$I$999, 0) + 35, ""))</f>
        <v>62</v>
      </c>
      <c r="E13" s="15" t="s">
        <v>53</v>
      </c>
      <c r="F13" s="15" t="s">
        <v>54</v>
      </c>
      <c r="G13" s="10" t="str">
        <f>IFERROR(__xludf.DUMMYFUNCTION("TRIM(REGEXREPLACE(Q13 , ""ADC(\d+_(INN\d+|INP\d+)*)|."" , ""$1 "")  )"),"12_INP15")</f>
        <v>12_INP15</v>
      </c>
      <c r="I13" s="9" t="str">
        <f>IFERROR(__xludf.DUMMYFUNCTION("TRIM(REGEXREPLACE(R13 , ""SPI(._(MOSI|MISO|SCK))|."" , ""$1 "")  )"),"")</f>
        <v/>
      </c>
      <c r="J13" s="10" t="str">
        <f>IFERROR(__xludf.DUMMYFUNCTION("TRIM(REGEXREPLACE(R13 , ""FDCAN(._[\w_]+)|."" , ""$1 "")  )"),"")</f>
        <v/>
      </c>
      <c r="K13" s="16" t="str">
        <f>IFERROR(__xludf.DUMMYFUNCTION("TRIM(REGEXREPLACE(R13 , ""ETH_([\w_]+)|."" , ""$1 "")  )"),"MII_COL")</f>
        <v>MII_COL</v>
      </c>
      <c r="L13" s="9" t="str">
        <f>IFERROR(__xludf.DUMMYFUNCTION("TRIM(REGEXREPLACE(R13 , ""TIM(._\w+)|."" , ""$1 "")  )"),"2_CH4 5_CH4 5_OUT")</f>
        <v>2_CH4 5_CH4 5_OUT</v>
      </c>
      <c r="M13" s="16" t="str">
        <f>IFERROR(__xludf.DUMMYFUNCTION("TRIM(REGEXREPLACE(R13 , ""OTG_([\w_]+)|."" , ""$1 "") )"),"HS_ULPI_D0")</f>
        <v>HS_ULPI_D0</v>
      </c>
      <c r="N13" s="10" t="str">
        <f>IFERROR(__xludf.DUMMYFUNCTION("TRIM(REGEXREPLACE(R13 , ""US?ART(._(TX|RX))|."" , ""$1 "")  )"),"2_RX")</f>
        <v>2_RX</v>
      </c>
      <c r="O13" s="10" t="str">
        <f>IFERROR(__xludf.DUMMYFUNCTION("TRIM(REGEXREPLACE(Q13 , ""DAC(\d+_OUT\d+)|."" , ""$1 "")  )"),"")</f>
        <v/>
      </c>
      <c r="P13" s="9" t="str">
        <f>IFERROR(__xludf.DUMMYFUNCTION("TRIM(REGEXREPLACE(REGEXREPLACE(R13, "","", "" ""), ""(EVENTOUT|TRACECLK|TRACED.|SPI._[^ ]*|SAI._[^ ]*|ETH_[^ ]*|QUADSPI_[^ ]*|FMC_[^ ]*|UART._[^ ]*|FDCAN._[^ ]*|DFSDM._[^ ]*|OTG_[^ ]*|TIM\d+_[^ ]*)( |$)"", "" ""))"),"LP USART2_RX LCD_B2 LCD_B5")</f>
        <v>LP USART2_RX LCD_B2 LCD_B5</v>
      </c>
      <c r="Q13" s="12" t="s">
        <v>53</v>
      </c>
      <c r="R13" s="17" t="s">
        <v>55</v>
      </c>
    </row>
    <row r="14">
      <c r="A14" s="5">
        <v>28.0</v>
      </c>
      <c r="B14" s="5" t="s">
        <v>56</v>
      </c>
      <c r="D14" s="15">
        <f>IF(COUNTIF(ConnectorPins!$F$2:$F$999, B14) &gt; 0, MATCH(B14, ConnectorPins!$F$2:$F$999, 0), IF(COUNTIF(ConnectorPins!$I$2:$I$999, B14) &gt; 0, MATCH(B14, ConnectorPins!$I$2:$I$999, 0) + 35, ""))</f>
        <v>64</v>
      </c>
      <c r="E14" s="15" t="s">
        <v>57</v>
      </c>
      <c r="F14" s="15" t="s">
        <v>58</v>
      </c>
      <c r="G14" s="10" t="str">
        <f>IFERROR(__xludf.DUMMYFUNCTION("TRIM(REGEXREPLACE(Q14 , ""ADC(\d+_(INN\d+|INP\d+)*)|."" , ""$1 "")  )"),"12_INP18")</f>
        <v>12_INP18</v>
      </c>
      <c r="I14" s="9" t="str">
        <f>IFERROR(__xludf.DUMMYFUNCTION("TRIM(REGEXREPLACE(R14 , ""SPI(._(MOSI|MISO|SCK))|."" , ""$1 "")  )"),"")</f>
        <v/>
      </c>
      <c r="J14" s="10" t="str">
        <f>IFERROR(__xludf.DUMMYFUNCTION("TRIM(REGEXREPLACE(R14 , ""FDCAN(._[\w_]+)|."" , ""$1 "")  )"),"")</f>
        <v/>
      </c>
      <c r="K14" s="16" t="str">
        <f>IFERROR(__xludf.DUMMYFUNCTION("TRIM(REGEXREPLACE(R14 , ""ETH_([\w_]+)|."" , ""$1 "")  )"),"")</f>
        <v/>
      </c>
      <c r="L14" s="9" t="str">
        <f>IFERROR(__xludf.DUMMYFUNCTION("TRIM(REGEXREPLACE(R14 , ""TIM(._\w+)|."" , ""$1 "")  )"),"5_ETR")</f>
        <v>5_ETR</v>
      </c>
      <c r="M14" s="16" t="str">
        <f>IFERROR(__xludf.DUMMYFUNCTION("TRIM(REGEXREPLACE(R14 , ""OTG_([\w_]+)|."" , ""$1 "") )"),"HS_SOF")</f>
        <v>HS_SOF</v>
      </c>
      <c r="N14" s="9" t="str">
        <f>IFERROR(__xludf.DUMMYFUNCTION("TRIM(REGEXREPLACE(R14 , ""US?ART(._(TX|RX))|."" , ""$1 "")  )"),"")</f>
        <v/>
      </c>
      <c r="O14" s="10" t="str">
        <f>IFERROR(__xludf.DUMMYFUNCTION("TRIM(REGEXREPLACE(Q14 , ""DAC(\d+_OUT\d+)|."" , ""$1 "")  )"),"1_OUT1")</f>
        <v>1_OUT1</v>
      </c>
      <c r="P14" s="9" t="str">
        <f>IFERROR(__xludf.DUMMYFUNCTION("TRIM(REGEXREPLACE(REGEXREPLACE(R14, "","", "" ""), ""(EVENTOUT|TRACECLK|TRACED.|SPI._[^ ]*|SAI._[^ ]*|ETH_[^ ]*|QUADSPI_[^ ]*|FMC_[^ ]*|UART._[^ ]*|FDCAN._[^ ]*|DFSDM._[^ ]*|OTG_[^ ]*|TIM\d+_[^ ]*)( |$)"", "" ""))"),"D1PWREN USART2_CK DCMI_HSYNC LCD_VSYNC")</f>
        <v>D1PWREN USART2_CK DCMI_HSYNC LCD_VSYNC</v>
      </c>
      <c r="Q14" s="12" t="s">
        <v>59</v>
      </c>
      <c r="R14" s="17" t="s">
        <v>60</v>
      </c>
    </row>
    <row r="15">
      <c r="A15" s="5">
        <v>29.0</v>
      </c>
      <c r="B15" s="18" t="s">
        <v>61</v>
      </c>
      <c r="C15" s="15" t="s">
        <v>62</v>
      </c>
      <c r="D15" s="8" t="str">
        <f>IF(COUNTIF(ConnectorPins!$F$2:$F$999, B15) &gt; 0, MATCH(B15, ConnectorPins!$F$2:$F$999, 0), IF(COUNTIF(ConnectorPins!$I$2:$I$999, B15) &gt; 0, MATCH(B15, ConnectorPins!$I$2:$I$999, 0) + 35, ""))</f>
        <v/>
      </c>
      <c r="E15" s="7"/>
      <c r="F15" s="7"/>
      <c r="G15" s="10" t="str">
        <f>IFERROR(__xludf.DUMMYFUNCTION("TRIM(REGEXREPLACE(Q15 , ""ADC(\d+_(INN\d+|INP\d+)*)|."" , ""$1 "")  )"),"12_INN18 12_INP19")</f>
        <v>12_INN18 12_INP19</v>
      </c>
      <c r="H15" s="10"/>
      <c r="I15" s="10" t="str">
        <f>IFERROR(__xludf.DUMMYFUNCTION("TRIM(REGEXREPLACE(R15 , ""SPI(._(MOSI|MISO|SCK))|."" , ""$1 "")  )"),"1_SCK 6_SCK")</f>
        <v>1_SCK 6_SCK</v>
      </c>
      <c r="J15" s="10" t="str">
        <f>IFERROR(__xludf.DUMMYFUNCTION("TRIM(REGEXREPLACE(R15 , ""FDCAN(._[\w_]+)|."" , ""$1 "")  )"),"")</f>
        <v/>
      </c>
      <c r="K15" s="16" t="str">
        <f>IFERROR(__xludf.DUMMYFUNCTION("TRIM(REGEXREPLACE(R15 , ""ETH_([\w_]+)|."" , ""$1 "")  )"),"")</f>
        <v/>
      </c>
      <c r="L15" s="10" t="str">
        <f>IFERROR(__xludf.DUMMYFUNCTION("TRIM(REGEXREPLACE(R15 , ""TIM(._\w+)|."" , ""$1 "")  )"),"2_CH1 2_ETR 8_CH1N")</f>
        <v>2_CH1 2_ETR 8_CH1N</v>
      </c>
      <c r="M15" s="16" t="str">
        <f>IFERROR(__xludf.DUMMYFUNCTION("TRIM(REGEXREPLACE(R15 , ""OTG_([\w_]+)|."" , ""$1 "") )"),"HS_ULPI_CK")</f>
        <v>HS_ULPI_CK</v>
      </c>
      <c r="N15" s="9" t="str">
        <f>IFERROR(__xludf.DUMMYFUNCTION("TRIM(REGEXREPLACE(R15 , ""US?ART(._(TX|RX))|."" , ""$1 "")  )"),"")</f>
        <v/>
      </c>
      <c r="O15" s="10" t="str">
        <f>IFERROR(__xludf.DUMMYFUNCTION("TRIM(REGEXREPLACE(Q15 , ""DAC(\d+_OUT\d+)|."" , ""$1 "")  )"),"1_OUT2")</f>
        <v>1_OUT2</v>
      </c>
      <c r="P15" s="9" t="str">
        <f>IFERROR(__xludf.DUMMYFUNCTION("TRIM(REGEXREPLACE(REGEXREPLACE(R15, "","", "" ""), ""(EVENTOUT|TRACECLK|TRACED.|SPI._[^ ]*|SAI._[^ ]*|ETH_[^ ]*|QUADSPI_[^ ]*|FMC_[^ ]*|UART._[^ ]*|FDCAN._[^ ]*|DFSDM._[^ ]*|OTG_[^ ]*|TIM\d+_[^ ]*)( |$)"", "" ""))"),"D2PWREN LCD_R4")</f>
        <v>D2PWREN LCD_R4</v>
      </c>
      <c r="Q15" s="12" t="s">
        <v>63</v>
      </c>
      <c r="R15" s="17" t="s">
        <v>64</v>
      </c>
    </row>
    <row r="16">
      <c r="A16" s="5">
        <v>30.0</v>
      </c>
      <c r="B16" s="5" t="s">
        <v>65</v>
      </c>
      <c r="D16" s="15">
        <f>IF(COUNTIF(ConnectorPins!$F$2:$F$999, B16) &gt; 0, MATCH(B16, ConnectorPins!$F$2:$F$999, 0), IF(COUNTIF(ConnectorPins!$I$2:$I$999, B16) &gt; 0, MATCH(B16, ConnectorPins!$I$2:$I$999, 0) + 35, ""))</f>
        <v>65</v>
      </c>
      <c r="G16" s="9" t="str">
        <f>IFERROR(__xludf.DUMMYFUNCTION("TRIM(REGEXREPLACE(Q16 , ""ADC(\d+_(INN\d+|INP\d+)*)|."" , ""$1 "")  )"),"12_INP3")</f>
        <v>12_INP3</v>
      </c>
      <c r="I16" s="10" t="str">
        <f>IFERROR(__xludf.DUMMYFUNCTION("TRIM(REGEXREPLACE(R16 , ""SPI(._(MOSI|MISO|SCK))|."" , ""$1 "")  )"),"1_MISO 6_MISO")</f>
        <v>1_MISO 6_MISO</v>
      </c>
      <c r="J16" s="10" t="str">
        <f>IFERROR(__xludf.DUMMYFUNCTION("TRIM(REGEXREPLACE(R16 , ""FDCAN(._[\w_]+)|."" , ""$1 "")  )"),"")</f>
        <v/>
      </c>
      <c r="K16" s="16" t="str">
        <f>IFERROR(__xludf.DUMMYFUNCTION("TRIM(REGEXREPLACE(R16 , ""ETH_([\w_]+)|."" , ""$1 "")  )"),"")</f>
        <v/>
      </c>
      <c r="L16" s="9" t="str">
        <f>IFERROR(__xludf.DUMMYFUNCTION("TRIM(REGEXREPLACE(R16 , ""TIM(._\w+)|."" , ""$1 "")  )"),"1_BKIN 3_CH1 8_BKIN 8_BKIN_COMP12 1_BKIN_COMP12")</f>
        <v>1_BKIN 3_CH1 8_BKIN 8_BKIN_COMP12 1_BKIN_COMP12</v>
      </c>
      <c r="M16" s="11" t="str">
        <f>IFERROR(__xludf.DUMMYFUNCTION("TRIM(REGEXREPLACE(R16 , ""OTG_([\w_]+)|."" , ""$1 "") )"),"")</f>
        <v/>
      </c>
      <c r="N16" s="9" t="str">
        <f>IFERROR(__xludf.DUMMYFUNCTION("TRIM(REGEXREPLACE(R16 , ""US?ART(._(TX|RX))|."" , ""$1 "")  )"),"")</f>
        <v/>
      </c>
      <c r="O16" s="9" t="str">
        <f>IFERROR(__xludf.DUMMYFUNCTION("TRIM(REGEXREPLACE(Q16 , ""DAC(\d+_OUT\d+)|."" , ""$1 "")  )"),"")</f>
        <v/>
      </c>
      <c r="P16" s="9" t="str">
        <f>IFERROR(__xludf.DUMMYFUNCTION("TRIM(REGEXREPLACE(REGEXREPLACE(R16, "","", "" ""), ""(EVENTOUT|TRACECLK|TRACED.|SPI._[^ ]*|SAI._[^ ]*|ETH_[^ ]*|QUADSPI_[^ ]*|FMC_[^ ]*|UART._[^ ]*|FDCAN._[^ ]*|DFSDM._[^ ]*|OTG_[^ ]*|TIM\d+_[^ ]*)( |$)"", "" ""))"),"MDIOS_MDC DCMI_PIXCLK LCD_G2")</f>
        <v>MDIOS_MDC DCMI_PIXCLK LCD_G2</v>
      </c>
      <c r="Q16" s="12" t="s">
        <v>66</v>
      </c>
      <c r="R16" s="17" t="s">
        <v>67</v>
      </c>
    </row>
    <row r="17">
      <c r="A17" s="5">
        <v>31.0</v>
      </c>
      <c r="B17" s="18" t="s">
        <v>68</v>
      </c>
      <c r="C17" s="7"/>
      <c r="D17" s="15">
        <f>IF(COUNTIF(ConnectorPins!$F$2:$F$999, B17) &gt; 0, MATCH(B17, ConnectorPins!$F$2:$F$999, 0), IF(COUNTIF(ConnectorPins!$I$2:$I$999, B17) &gt; 0, MATCH(B17, ConnectorPins!$I$2:$I$999, 0) + 35, ""))</f>
        <v>66</v>
      </c>
      <c r="E17" s="15" t="s">
        <v>69</v>
      </c>
      <c r="F17" s="15"/>
      <c r="G17" s="9" t="str">
        <f>IFERROR(__xludf.DUMMYFUNCTION("TRIM(REGEXREPLACE(Q17 , ""ADC(\d+_(INN\d+|INP\d+)*)|."" , ""$1 "")  )"),"12_INN3 12_INP7")</f>
        <v>12_INN3 12_INP7</v>
      </c>
      <c r="I17" s="10" t="str">
        <f>IFERROR(__xludf.DUMMYFUNCTION("TRIM(REGEXREPLACE(R17 , ""SPI(._(MOSI|MISO|SCK))|."" , ""$1 "")  )"),"1_MOSI 6_MOSI")</f>
        <v>1_MOSI 6_MOSI</v>
      </c>
      <c r="J17" s="10" t="str">
        <f>IFERROR(__xludf.DUMMYFUNCTION("TRIM(REGEXREPLACE(R17 , ""FDCAN(._[\w_]+)|."" , ""$1 "")  )"),"")</f>
        <v/>
      </c>
      <c r="K17" s="16" t="str">
        <f>IFERROR(__xludf.DUMMYFUNCTION("TRIM(REGEXREPLACE(R17 , ""ETH_([\w_]+)|."" , ""$1 "")  )"),"MII_RX_DV RMII_CRS_DV")</f>
        <v>MII_RX_DV RMII_CRS_DV</v>
      </c>
      <c r="L17" s="9" t="str">
        <f>IFERROR(__xludf.DUMMYFUNCTION("TRIM(REGEXREPLACE(R17 , ""TIM(._\w+)|."" , ""$1 "")  )"),"1_CH1N 3_CH2 8_CH1N")</f>
        <v>1_CH1N 3_CH2 8_CH1N</v>
      </c>
      <c r="M17" s="11" t="str">
        <f>IFERROR(__xludf.DUMMYFUNCTION("TRIM(REGEXREPLACE(R17 , ""OTG_([\w_]+)|."" , ""$1 "") )"),"")</f>
        <v/>
      </c>
      <c r="N17" s="9" t="str">
        <f>IFERROR(__xludf.DUMMYFUNCTION("TRIM(REGEXREPLACE(R17 , ""US?ART(._(TX|RX))|."" , ""$1 "")  )"),"")</f>
        <v/>
      </c>
      <c r="O17" s="9" t="str">
        <f>IFERROR(__xludf.DUMMYFUNCTION("TRIM(REGEXREPLACE(Q17 , ""DAC(\d+_OUT\d+)|."" , ""$1 "")  )"),"")</f>
        <v/>
      </c>
      <c r="P17" s="9" t="str">
        <f>IFERROR(__xludf.DUMMYFUNCTION("TRIM(REGEXREPLACE(REGEXREPLACE(R17, "","", "" ""), ""(EVENTOUT|TRACECLK|TRACED.|SPI._[^ ]*|SAI._[^ ]*|ETH_[^ ]*|QUADSPI_[^ ]*|FMC_[^ ]*|UART._[^ ]*|FDCAN._[^ ]*|DFSDM._[^ ]*|OTG_[^ ]*|TIM\d+_[^ ]*)( |$)"", "" ""))"),"")</f>
        <v/>
      </c>
      <c r="Q17" s="12" t="s">
        <v>70</v>
      </c>
      <c r="R17" s="17" t="s">
        <v>71</v>
      </c>
    </row>
    <row r="18">
      <c r="A18" s="5">
        <v>67.0</v>
      </c>
      <c r="B18" s="5" t="s">
        <v>72</v>
      </c>
      <c r="C18" s="15" t="s">
        <v>32</v>
      </c>
      <c r="D18" s="15" t="str">
        <f>IF(COUNTIF(ConnectorPins!$F$2:$F$999, B18) &gt; 0, MATCH(B18, ConnectorPins!$F$2:$F$999, 0), IF(COUNTIF(ConnectorPins!$I$2:$I$999, B18) &gt; 0, MATCH(B18, ConnectorPins!$I$2:$I$999, 0), ""))</f>
        <v/>
      </c>
      <c r="G18" s="9" t="str">
        <f>IFERROR(__xludf.DUMMYFUNCTION("TRIM(REGEXREPLACE(Q18 , ""ADC(\d+_(INN\d+|INP\d+)*)|."" , ""$1 "")  )"),"")</f>
        <v/>
      </c>
      <c r="H18" s="15" t="s">
        <v>33</v>
      </c>
      <c r="I18" s="9" t="str">
        <f>IFERROR(__xludf.DUMMYFUNCTION("TRIM(REGEXREPLACE(R18 , ""SPI(._(MOSI|MISO|SCK))|."" , ""$1 "")  )"),"")</f>
        <v/>
      </c>
      <c r="J18" s="10" t="str">
        <f>IFERROR(__xludf.DUMMYFUNCTION("TRIM(REGEXREPLACE(R18 , ""FDCAN(._[\w_]+)|."" , ""$1 "")  )"),"")</f>
        <v/>
      </c>
      <c r="K18" s="16" t="str">
        <f>IFERROR(__xludf.DUMMYFUNCTION("TRIM(REGEXREPLACE(R18 , ""ETH_([\w_]+)|."" , ""$1 "")  )"),"")</f>
        <v/>
      </c>
      <c r="L18" s="9" t="str">
        <f>IFERROR(__xludf.DUMMYFUNCTION("TRIM(REGEXREPLACE(R18 , ""TIM(._\w+)|."" , ""$1 "")  )"),"1_CH1 8_BKIN2 8_BKIN2_COMP12")</f>
        <v>1_CH1 8_BKIN2 8_BKIN2_COMP12</v>
      </c>
      <c r="M18" s="11" t="str">
        <f>IFERROR(__xludf.DUMMYFUNCTION("TRIM(REGEXREPLACE(R18 , ""OTG_([\w_]+)|."" , ""$1 "") )"),"FS_SOF")</f>
        <v>FS_SOF</v>
      </c>
      <c r="N18" s="9" t="str">
        <f>IFERROR(__xludf.DUMMYFUNCTION("TRIM(REGEXREPLACE(R18 , ""US?ART(._(TX|RX))|."" , ""$1 "")  )"),"7_RX")</f>
        <v>7_RX</v>
      </c>
      <c r="O18" s="9" t="str">
        <f>IFERROR(__xludf.DUMMYFUNCTION("TRIM(REGEXREPLACE(Q18 , ""DAC(\d+_OUT\d+)|."" , ""$1 "")  )"),"")</f>
        <v/>
      </c>
      <c r="P18" s="9" t="str">
        <f>IFERROR(__xludf.DUMMYFUNCTION("TRIM(REGEXREPLACE(REGEXREPLACE(R18, "","", "" ""), ""(EVENTOUT|TRACECLK|TRACED.|SPI._[^ ]*|SAI._[^ ]*|ETH_[^ ]*|QUADSPI_[^ ]*|FMC_[^ ]*|UART._[^ ]*|FDCAN._[^ ]*|DFSDM._[^ ]*|OTG_[^ ]*|TIM\d+_[^ ]*)( |$)"", "" ""))"),"MCO1 HRTIM_CHB2 I2C3_SCL USART1_CK LCD_B3 LCD_R6")</f>
        <v>MCO1 HRTIM_CHB2 I2C3_SCL USART1_CK LCD_B3 LCD_R6</v>
      </c>
      <c r="Q18" s="14"/>
      <c r="R18" s="17" t="s">
        <v>73</v>
      </c>
    </row>
    <row r="19">
      <c r="A19" s="5">
        <v>68.0</v>
      </c>
      <c r="B19" s="5" t="s">
        <v>74</v>
      </c>
      <c r="C19" s="15" t="s">
        <v>75</v>
      </c>
      <c r="I19" s="10" t="str">
        <f>IFERROR(__xludf.DUMMYFUNCTION("TRIM(REGEXREPLACE(R19 , ""SPI(._(MOSI|MISO|SCK))|."" , ""$1 "")  )"),"2_SCK")</f>
        <v>2_SCK</v>
      </c>
      <c r="J19" s="10" t="str">
        <f>IFERROR(__xludf.DUMMYFUNCTION("TRIM(REGEXREPLACE(R19 , ""FDCAN(._[\w_]+)|."" , ""$1 "")  )"),"")</f>
        <v/>
      </c>
      <c r="K19" s="16" t="str">
        <f>IFERROR(__xludf.DUMMYFUNCTION("TRIM(REGEXREPLACE(R19 , ""ETH_([\w_]+)|."" , ""$1 "")  )"),"")</f>
        <v/>
      </c>
      <c r="L19" s="9" t="str">
        <f>IFERROR(__xludf.DUMMYFUNCTION("TRIM(REGEXREPLACE(R19 , ""TIM(._\w+)|."" , ""$1 "")  )"),"1_CH2")</f>
        <v>1_CH2</v>
      </c>
      <c r="M19" s="11" t="str">
        <f>IFERROR(__xludf.DUMMYFUNCTION("TRIM(REGEXREPLACE(R19 , ""OTG_([\w_]+)|."" , ""$1 "") )"),"")</f>
        <v/>
      </c>
      <c r="N19" s="9" t="str">
        <f>IFERROR(__xludf.DUMMYFUNCTION("TRIM(REGEXREPLACE(R19 , ""US?ART(._(TX|RX))|."" , ""$1 "")  )"),"1_TX 1_TX")</f>
        <v>1_TX 1_TX</v>
      </c>
      <c r="O19" s="9" t="str">
        <f>IFERROR(__xludf.DUMMYFUNCTION("TRIM(REGEXREPLACE(Q19 , ""DAC(\d+_OUT\d+)|."" , ""$1 "")  )"),"")</f>
        <v/>
      </c>
      <c r="P19" s="9" t="str">
        <f>IFERROR(__xludf.DUMMYFUNCTION("TRIM(REGEXREPLACE(REGEXREPLACE(R19, "","", "" ""), ""(EVENTOUT|TRACECLK|TRACED.|SPI._[^ ]*|SAI._[^ ]*|ETH_[^ ]*|QUADSPI_[^ ]*|FMC_[^ ]*|UART._[^ ]*|FDCAN._[^ ]*|DFSDM._[^ ]*|OTG_[^ ]*|TIM\d+_[^ ]*)( |$)"", "" ""))"),"HRTIM_CHC1 LP I2C3_SMBA USART1_TX DCMI_D0 LCD_R5")</f>
        <v>HRTIM_CHC1 LP I2C3_SMBA USART1_TX DCMI_D0 LCD_R5</v>
      </c>
      <c r="Q19" s="12" t="s">
        <v>76</v>
      </c>
      <c r="R19" s="17" t="s">
        <v>77</v>
      </c>
    </row>
    <row r="20">
      <c r="A20" s="5">
        <v>34.0</v>
      </c>
      <c r="B20" s="5" t="s">
        <v>78</v>
      </c>
      <c r="D20" s="15">
        <f>IF(COUNTIF(ConnectorPins!$F$2:$F$999, B20) &gt; 0, MATCH(B20, ConnectorPins!$F$2:$F$999, 0), IF(COUNTIF(ConnectorPins!$I$2:$I$999, B20) &gt; 0, MATCH(B20, ConnectorPins!$I$2:$I$999, 0) + 35, ""))</f>
        <v>46</v>
      </c>
      <c r="G20" s="9" t="str">
        <f>IFERROR(__xludf.DUMMYFUNCTION("TRIM(REGEXREPLACE(Q20 , ""ADC(\d+_(INN\d+|INP\d+)*)|."" , ""$1 "")  )"),"12_INN5 12_INP9")</f>
        <v>12_INN5 12_INP9</v>
      </c>
      <c r="I20" s="9" t="str">
        <f>IFERROR(__xludf.DUMMYFUNCTION("TRIM(REGEXREPLACE(R20 , ""SPI(._(MOSI|MISO|SCK))|."" , ""$1 "")  )"),"")</f>
        <v/>
      </c>
      <c r="J20" s="10" t="str">
        <f>IFERROR(__xludf.DUMMYFUNCTION("TRIM(REGEXREPLACE(R20 , ""FDCAN(._[\w_]+)|."" , ""$1 "")  )"),"")</f>
        <v/>
      </c>
      <c r="K20" s="16" t="str">
        <f>IFERROR(__xludf.DUMMYFUNCTION("TRIM(REGEXREPLACE(R20 , ""ETH_([\w_]+)|."" , ""$1 "")  )"),"MII_RXD2")</f>
        <v>MII_RXD2</v>
      </c>
      <c r="L20" s="9" t="str">
        <f>IFERROR(__xludf.DUMMYFUNCTION("TRIM(REGEXREPLACE(R20 , ""TIM(._\w+)|."" , ""$1 "")  )"),"1_CH2N 3_CH3 8_CH2N")</f>
        <v>1_CH2N 3_CH3 8_CH2N</v>
      </c>
      <c r="M20" s="16" t="str">
        <f>IFERROR(__xludf.DUMMYFUNCTION("TRIM(REGEXREPLACE(R20 , ""OTG_([\w_]+)|."" , ""$1 "") )"),"HS_ULPI_D1")</f>
        <v>HS_ULPI_D1</v>
      </c>
      <c r="N20" s="9" t="str">
        <f>IFERROR(__xludf.DUMMYFUNCTION("TRIM(REGEXREPLACE(R20 , ""US?ART(._(TX|RX))|."" , ""$1 "")  )"),"")</f>
        <v/>
      </c>
      <c r="O20" s="9" t="str">
        <f>IFERROR(__xludf.DUMMYFUNCTION("TRIM(REGEXREPLACE(Q20 , ""DAC(\d+_OUT\d+)|."" , ""$1 "")  )"),"")</f>
        <v/>
      </c>
      <c r="P20" s="9" t="str">
        <f>IFERROR(__xludf.DUMMYFUNCTION("TRIM(REGEXREPLACE(REGEXREPLACE(R20, "","", "" ""), ""(EVENTOUT|TRACECLK|TRACED.|SPI._[^ ]*|SAI._[^ ]*|ETH_[^ ]*|QUADSPI_[^ ]*|FMC_[^ ]*|UART._[^ ]*|FDCAN._[^ ]*|DFSDM._[^ ]*|OTG_[^ ]*|TIM\d+_[^ ]*)( |$)"", "" ""))"),"LCD_R3 LCD_G1")</f>
        <v>LCD_R3 LCD_G1</v>
      </c>
      <c r="Q20" s="12" t="s">
        <v>79</v>
      </c>
      <c r="R20" s="17" t="s">
        <v>80</v>
      </c>
    </row>
    <row r="21">
      <c r="A21" s="5">
        <v>35.0</v>
      </c>
      <c r="B21" s="5" t="s">
        <v>81</v>
      </c>
      <c r="D21" s="15">
        <f>IF(COUNTIF(ConnectorPins!$F$2:$F$999, B21) &gt; 0, MATCH(B21, ConnectorPins!$F$2:$F$999, 0), IF(COUNTIF(ConnectorPins!$I$2:$I$999, B21) &gt; 0, MATCH(B21, ConnectorPins!$I$2:$I$999, 0) + 35, ""))</f>
        <v>47</v>
      </c>
      <c r="G21" s="9" t="str">
        <f>IFERROR(__xludf.DUMMYFUNCTION("TRIM(REGEXREPLACE(Q21 , ""ADC(\d+_(INN\d+|INP\d+)*)|."" , ""$1 "")  )"),"12_INP5")</f>
        <v>12_INP5</v>
      </c>
      <c r="I21" s="9" t="str">
        <f>IFERROR(__xludf.DUMMYFUNCTION("TRIM(REGEXREPLACE(R21 , ""SPI(._(MOSI|MISO|SCK))|."" , ""$1 "")  )"),"")</f>
        <v/>
      </c>
      <c r="J21" s="10" t="str">
        <f>IFERROR(__xludf.DUMMYFUNCTION("TRIM(REGEXREPLACE(R21 , ""FDCAN(._[\w_]+)|."" , ""$1 "")  )"),"")</f>
        <v/>
      </c>
      <c r="K21" s="16" t="str">
        <f>IFERROR(__xludf.DUMMYFUNCTION("TRIM(REGEXREPLACE(R21 , ""ETH_([\w_]+)|."" , ""$1 "")  )"),"MII_RXD3")</f>
        <v>MII_RXD3</v>
      </c>
      <c r="L21" s="9" t="str">
        <f>IFERROR(__xludf.DUMMYFUNCTION("TRIM(REGEXREPLACE(R21 , ""TIM(._\w+)|."" , ""$1 "")  )"),"1_CH3N 3_CH4 8_CH3N")</f>
        <v>1_CH3N 3_CH4 8_CH3N</v>
      </c>
      <c r="M21" s="16" t="str">
        <f>IFERROR(__xludf.DUMMYFUNCTION("TRIM(REGEXREPLACE(R21 , ""OTG_([\w_]+)|."" , ""$1 "") )"),"HS_ULPI_D2")</f>
        <v>HS_ULPI_D2</v>
      </c>
      <c r="N21" s="9" t="str">
        <f>IFERROR(__xludf.DUMMYFUNCTION("TRIM(REGEXREPLACE(R21 , ""US?ART(._(TX|RX))|."" , ""$1 "")  )"),"")</f>
        <v/>
      </c>
      <c r="O21" s="9" t="str">
        <f>IFERROR(__xludf.DUMMYFUNCTION("TRIM(REGEXREPLACE(Q21 , ""DAC(\d+_OUT\d+)|."" , ""$1 "")  )"),"")</f>
        <v/>
      </c>
      <c r="P21" s="9" t="str">
        <f>IFERROR(__xludf.DUMMYFUNCTION("TRIM(REGEXREPLACE(REGEXREPLACE(R21, "","", "" ""), ""(EVENTOUT|TRACECLK|TRACED.|SPI._[^ ]*|SAI._[^ ]*|ETH_[^ ]*|QUADSPI_[^ ]*|FMC_[^ ]*|UART._[^ ]*|FDCAN._[^ ]*|DFSDM._[^ ]*|OTG_[^ ]*|TIM\d+_[^ ]*)( |$)"", "" ""))"),"LCD_R6 LCD_G0")</f>
        <v>LCD_R6 LCD_G0</v>
      </c>
      <c r="Q21" s="12" t="s">
        <v>82</v>
      </c>
      <c r="R21" s="17" t="s">
        <v>83</v>
      </c>
    </row>
    <row r="22">
      <c r="A22" s="5">
        <v>46.0</v>
      </c>
      <c r="B22" s="5" t="s">
        <v>84</v>
      </c>
      <c r="D22" s="15">
        <f>IF(COUNTIF(ConnectorPins!$F$2:$F$999, B22) &gt; 0, MATCH(B22, ConnectorPins!$F$2:$F$999, 0), IF(COUNTIF(ConnectorPins!$I$2:$I$999, B22) &gt; 0, MATCH(B22, ConnectorPins!$I$2:$I$999, 0) + 35, ""))</f>
        <v>54</v>
      </c>
      <c r="F22" s="15" t="s">
        <v>85</v>
      </c>
      <c r="G22" s="9" t="str">
        <f>IFERROR(__xludf.DUMMYFUNCTION("TRIM(REGEXREPLACE(Q22 , ""ADC(\d+_(INN\d+|INP\d+)*)|."" , ""$1 "")  )"),"")</f>
        <v/>
      </c>
      <c r="I22" s="10" t="str">
        <f>IFERROR(__xludf.DUMMYFUNCTION("TRIM(REGEXREPLACE(R22 , ""SPI(._(MOSI|MISO|SCK))|."" , ""$1 "")  )"),"2_SCK")</f>
        <v>2_SCK</v>
      </c>
      <c r="J22" s="10" t="str">
        <f>IFERROR(__xludf.DUMMYFUNCTION("TRIM(REGEXREPLACE(R22 , ""FDCAN(._[\w_]+)|."" , ""$1 "")  )"),"")</f>
        <v/>
      </c>
      <c r="K22" s="16" t="str">
        <f>IFERROR(__xludf.DUMMYFUNCTION("TRIM(REGEXREPLACE(R22 , ""ETH_([\w_]+)|."" , ""$1 "")  )"),"MII_RX_ER")</f>
        <v>MII_RX_ER</v>
      </c>
      <c r="L22" s="10" t="str">
        <f>IFERROR(__xludf.DUMMYFUNCTION("TRIM(REGEXREPLACE(R22 , ""TIM(._\w+)|."" , ""$1 "")  )"),"2_CH3 2_IN1")</f>
        <v>2_CH3 2_IN1</v>
      </c>
      <c r="M22" s="16" t="str">
        <f>IFERROR(__xludf.DUMMYFUNCTION("TRIM(REGEXREPLACE(R22 , ""OTG_([\w_]+)|."" , ""$1 "") )"),"HS_ULPI_D3")</f>
        <v>HS_ULPI_D3</v>
      </c>
      <c r="N22" s="9" t="str">
        <f>IFERROR(__xludf.DUMMYFUNCTION("TRIM(REGEXREPLACE(R22 , ""US?ART(._(TX|RX))|."" , ""$1 "")  )"),"3_TX")</f>
        <v>3_TX</v>
      </c>
      <c r="O22" s="9" t="str">
        <f>IFERROR(__xludf.DUMMYFUNCTION("TRIM(REGEXREPLACE(Q22 , ""DAC(\d+_OUT\d+)|."" , ""$1 "")  )"),"")</f>
        <v/>
      </c>
      <c r="P22" s="9" t="str">
        <f>IFERROR(__xludf.DUMMYFUNCTION("TRIM(REGEXREPLACE(REGEXREPLACE(R22, "","", "" ""), ""(EVENTOUT|TRACECLK|TRACED.|SPI._[^ ]*|SAI._[^ ]*|ETH_[^ ]*|QUADSPI_[^ ]*|FMC_[^ ]*|UART._[^ ]*|FDCAN._[^ ]*|DFSDM._[^ ]*|OTG_[^ ]*|TIM\d+_[^ ]*)( |$)"", "" ""))"),"HRTIM_SCOUT LP I2C2_SCL USART3_TX LCD_G4")</f>
        <v>HRTIM_SCOUT LP I2C2_SCL USART3_TX LCD_G4</v>
      </c>
      <c r="Q22" s="14"/>
      <c r="R22" s="17" t="s">
        <v>86</v>
      </c>
    </row>
    <row r="23">
      <c r="A23" s="5">
        <v>47.0</v>
      </c>
      <c r="B23" s="18" t="s">
        <v>87</v>
      </c>
      <c r="C23" s="7"/>
      <c r="D23" s="15">
        <f>IF(COUNTIF(ConnectorPins!$F$2:$F$999, B23) &gt; 0, MATCH(B23, ConnectorPins!$F$2:$F$999, 0), IF(COUNTIF(ConnectorPins!$I$2:$I$999, B23) &gt; 0, MATCH(B23, ConnectorPins!$I$2:$I$999, 0) + 35, ""))</f>
        <v>55</v>
      </c>
      <c r="E23" s="15" t="s">
        <v>88</v>
      </c>
      <c r="F23" s="15" t="s">
        <v>89</v>
      </c>
      <c r="G23" s="9" t="str">
        <f>IFERROR(__xludf.DUMMYFUNCTION("TRIM(REGEXREPLACE(Q23 , ""ADC(\d+_(INN\d+|INP\d+)*)|."" , ""$1 "")  )"),"")</f>
        <v/>
      </c>
      <c r="I23" s="9" t="str">
        <f>IFERROR(__xludf.DUMMYFUNCTION("TRIM(REGEXREPLACE(R23 , ""SPI(._(MOSI|MISO|SCK))|."" , ""$1 "")  )"),"")</f>
        <v/>
      </c>
      <c r="J23" s="10" t="str">
        <f>IFERROR(__xludf.DUMMYFUNCTION("TRIM(REGEXREPLACE(R23 , ""FDCAN(._[\w_]+)|."" , ""$1 "")  )"),"")</f>
        <v/>
      </c>
      <c r="K23" s="16" t="str">
        <f>IFERROR(__xludf.DUMMYFUNCTION("TRIM(REGEXREPLACE(R23 , ""ETH_([\w_]+)|."" , ""$1 "")  )"),"MII_TX_EN RMII_TX_EN")</f>
        <v>MII_TX_EN RMII_TX_EN</v>
      </c>
      <c r="L23" s="10" t="str">
        <f>IFERROR(__xludf.DUMMYFUNCTION("TRIM(REGEXREPLACE(R23 , ""TIM(._\w+)|."" , ""$1 "")  )"),"2_CH4 2_ETR")</f>
        <v>2_CH4 2_ETR</v>
      </c>
      <c r="M23" s="16" t="str">
        <f>IFERROR(__xludf.DUMMYFUNCTION("TRIM(REGEXREPLACE(R23 , ""OTG_([\w_]+)|."" , ""$1 "") )"),"HS_ULPI_D4")</f>
        <v>HS_ULPI_D4</v>
      </c>
      <c r="N23" s="9" t="str">
        <f>IFERROR(__xludf.DUMMYFUNCTION("TRIM(REGEXREPLACE(R23 , ""US?ART(._(TX|RX))|."" , ""$1 "")  )"),"3_RX")</f>
        <v>3_RX</v>
      </c>
      <c r="O23" s="9" t="str">
        <f>IFERROR(__xludf.DUMMYFUNCTION("TRIM(REGEXREPLACE(Q23 , ""DAC(\d+_OUT\d+)|."" , ""$1 "")  )"),"")</f>
        <v/>
      </c>
      <c r="P23" s="9" t="str">
        <f>IFERROR(__xludf.DUMMYFUNCTION("TRIM(REGEXREPLACE(REGEXREPLACE(R23, "","", "" ""), ""(EVENTOUT|TRACECLK|TRACED.|SPI._[^ ]*|SAI._[^ ]*|ETH_[^ ]*|QUADSPI_[^ ]*|FMC_[^ ]*|UART._[^ ]*|FDCAN._[^ ]*|DFSDM._[^ ]*|OTG_[^ ]*|TIM\d+_[^ ]*)( |$)"", "" ""))"),"HRTIM_SCIN LP I2C2_SDA USART3_RX LCD_G5")</f>
        <v>HRTIM_SCIN LP I2C2_SDA USART3_RX LCD_G5</v>
      </c>
      <c r="Q23" s="14"/>
      <c r="R23" s="17" t="s">
        <v>90</v>
      </c>
    </row>
    <row r="24">
      <c r="A24" s="5">
        <v>51.0</v>
      </c>
      <c r="B24" s="18" t="s">
        <v>91</v>
      </c>
      <c r="C24" s="7"/>
      <c r="D24" s="15">
        <f>IF(COUNTIF(ConnectorPins!$F$2:$F$999, B24) &gt; 0, MATCH(B24, ConnectorPins!$F$2:$F$999, 0), IF(COUNTIF(ConnectorPins!$I$2:$I$999, B24) &gt; 0, MATCH(B24, ConnectorPins!$I$2:$I$999, 0) + 35, ""))</f>
        <v>56</v>
      </c>
      <c r="E24" s="15" t="s">
        <v>92</v>
      </c>
      <c r="F24" s="15" t="s">
        <v>93</v>
      </c>
      <c r="G24" s="9" t="str">
        <f>IFERROR(__xludf.DUMMYFUNCTION("TRIM(REGEXREPLACE(Q24 , ""ADC(\d+_(INN\d+|INP\d+)*)|."" , ""$1 "")  )"),"")</f>
        <v/>
      </c>
      <c r="I24" s="9" t="str">
        <f>IFERROR(__xludf.DUMMYFUNCTION("TRIM(REGEXREPLACE(R24 , ""SPI(._(MOSI|MISO|SCK))|."" , ""$1 "")  )"),"")</f>
        <v/>
      </c>
      <c r="J24" s="10" t="str">
        <f>IFERROR(__xludf.DUMMYFUNCTION("TRIM(REGEXREPLACE(R24 , ""FDCAN(._[\w_]+)|."" , ""$1 "")  )"),"2_RX")</f>
        <v>2_RX</v>
      </c>
      <c r="K24" s="16" t="str">
        <f>IFERROR(__xludf.DUMMYFUNCTION("TRIM(REGEXREPLACE(R24 , ""ETH_([\w_]+)|."" , ""$1 "")  )"),"MII_TXD0 RMII_TXD0")</f>
        <v>MII_TXD0 RMII_TXD0</v>
      </c>
      <c r="L24" s="9" t="str">
        <f>IFERROR(__xludf.DUMMYFUNCTION("TRIM(REGEXREPLACE(R24 , ""TIM(._\w+)|."" , ""$1 "")  )"),"1_BKIN 1_BKIN_COMP12")</f>
        <v>1_BKIN 1_BKIN_COMP12</v>
      </c>
      <c r="M24" s="16" t="str">
        <f>IFERROR(__xludf.DUMMYFUNCTION("TRIM(REGEXREPLACE(R24 , ""OTG_([\w_]+)|."" , ""$1 "") )"),"HS_ULPI_D5 HS_ID")</f>
        <v>HS_ULPI_D5 HS_ID</v>
      </c>
      <c r="N24" s="9" t="str">
        <f>IFERROR(__xludf.DUMMYFUNCTION("TRIM(REGEXREPLACE(R24 , ""US?ART(._(TX|RX))|."" , ""$1 "")  )"),"5_RX")</f>
        <v>5_RX</v>
      </c>
      <c r="O24" s="9" t="str">
        <f>IFERROR(__xludf.DUMMYFUNCTION("TRIM(REGEXREPLACE(Q24 , ""DAC(\d+_OUT\d+)|."" , ""$1 "")  )"),"")</f>
        <v/>
      </c>
      <c r="P24" s="9" t="str">
        <f>IFERROR(__xludf.DUMMYFUNCTION("TRIM(REGEXREPLACE(REGEXREPLACE(R24, "","", "" ""), ""(EVENTOUT|TRACECLK|TRACED.|SPI._[^ ]*|SAI._[^ ]*|ETH_[^ ]*|QUADSPI_[^ ]*|FMC_[^ ]*|UART._[^ ]*|FDCAN._[^ ]*|DFSDM._[^ ]*|OTG_[^ ]*|TIM\d+_[^ ]*)( |$)"", "" ""))"),"I2C2_SMBA USART3_CK")</f>
        <v>I2C2_SMBA USART3_CK</v>
      </c>
      <c r="Q24" s="14"/>
      <c r="R24" s="17" t="s">
        <v>94</v>
      </c>
    </row>
    <row r="25">
      <c r="A25" s="5">
        <v>52.0</v>
      </c>
      <c r="B25" s="18" t="s">
        <v>95</v>
      </c>
      <c r="C25" s="7"/>
      <c r="D25" s="15">
        <f>IF(COUNTIF(ConnectorPins!$F$2:$F$999, B25) &gt; 0, MATCH(B25, ConnectorPins!$F$2:$F$999, 0), IF(COUNTIF(ConnectorPins!$I$2:$I$999, B25) &gt; 0, MATCH(B25, ConnectorPins!$I$2:$I$999, 0) + 35, ""))</f>
        <v>57</v>
      </c>
      <c r="E25" s="15" t="s">
        <v>96</v>
      </c>
      <c r="F25" s="15" t="s">
        <v>97</v>
      </c>
      <c r="G25" s="9" t="str">
        <f>IFERROR(__xludf.DUMMYFUNCTION("TRIM(REGEXREPLACE(Q25 , ""ADC(\d+_(INN\d+|INP\d+)*)|."" , ""$1 "")  )"),"")</f>
        <v/>
      </c>
      <c r="I25" s="10" t="str">
        <f>IFERROR(__xludf.DUMMYFUNCTION("TRIM(REGEXREPLACE(R25 , ""SPI(._(MOSI|MISO|SCK))|."" , ""$1 "")  )"),"2_SCK")</f>
        <v>2_SCK</v>
      </c>
      <c r="J25" s="10" t="str">
        <f>IFERROR(__xludf.DUMMYFUNCTION("TRIM(REGEXREPLACE(R25 , ""FDCAN(._[\w_]+)|."" , ""$1 "")  )"),"2_TX")</f>
        <v>2_TX</v>
      </c>
      <c r="K25" s="16" t="str">
        <f>IFERROR(__xludf.DUMMYFUNCTION("TRIM(REGEXREPLACE(R25 , ""ETH_([\w_]+)|."" , ""$1 "")  )"),"MII_TXD1 RMII_TXD1")</f>
        <v>MII_TXD1 RMII_TXD1</v>
      </c>
      <c r="L25" s="9" t="str">
        <f>IFERROR(__xludf.DUMMYFUNCTION("TRIM(REGEXREPLACE(R25 , ""TIM(._\w+)|."" , ""$1 "")  )"),"1_CH1N 2_OUT")</f>
        <v>1_CH1N 2_OUT</v>
      </c>
      <c r="M25" s="16" t="str">
        <f>IFERROR(__xludf.DUMMYFUNCTION("TRIM(REGEXREPLACE(R25 , ""OTG_([\w_]+)|."" , ""$1 "") )"),"HS_ULPI_D6")</f>
        <v>HS_ULPI_D6</v>
      </c>
      <c r="N25" s="9" t="str">
        <f>IFERROR(__xludf.DUMMYFUNCTION("TRIM(REGEXREPLACE(R25 , ""US?ART(._(TX|RX))|."" , ""$1 "")  )"),"5_TX")</f>
        <v>5_TX</v>
      </c>
      <c r="O25" s="9" t="str">
        <f>IFERROR(__xludf.DUMMYFUNCTION("TRIM(REGEXREPLACE(Q25 , ""DAC(\d+_OUT\d+)|."" , ""$1 "")  )"),"")</f>
        <v/>
      </c>
      <c r="P25" s="9" t="str">
        <f>IFERROR(__xludf.DUMMYFUNCTION("TRIM(REGEXREPLACE(REGEXREPLACE(R25, "","", "" ""), ""(EVENTOUT|TRACECLK|TRACED.|SPI._[^ ]*|SAI._[^ ]*|ETH_[^ ]*|QUADSPI_[^ ]*|FMC_[^ ]*|UART._[^ ]*|FDCAN._[^ ]*|DFSDM._[^ ]*|OTG_[^ ]*|TIM\d+_[^ ]*)( |$)"", "" ""))"),"LP USART3_CTS/USART3_NSS")</f>
        <v>LP USART3_CTS/USART3_NSS</v>
      </c>
      <c r="Q25" s="12" t="s">
        <v>98</v>
      </c>
      <c r="R25" s="17" t="s">
        <v>99</v>
      </c>
    </row>
    <row r="26">
      <c r="A26" s="5">
        <v>53.0</v>
      </c>
      <c r="B26" s="5" t="s">
        <v>100</v>
      </c>
      <c r="C26" s="15" t="s">
        <v>101</v>
      </c>
      <c r="D26" s="15" t="str">
        <f>IF(COUNTIF(ConnectorPins!$F$2:$F$999, B26) &gt; 0, MATCH(B26, ConnectorPins!$F$2:$F$999, 0), IF(COUNTIF(ConnectorPins!$I$2:$I$999, B26) &gt; 0, MATCH(B26, ConnectorPins!$I$2:$I$999, 0) + 35, ""))</f>
        <v/>
      </c>
      <c r="G26" s="9" t="str">
        <f>IFERROR(__xludf.DUMMYFUNCTION("TRIM(REGEXREPLACE(Q26 , ""ADC(\d+_(INN\d+|INP\d+)*)|."" , ""$1 "")  )"),"")</f>
        <v/>
      </c>
      <c r="I26" s="10" t="str">
        <f>IFERROR(__xludf.DUMMYFUNCTION("TRIM(REGEXREPLACE(R26 , ""SPI(._(MOSI|MISO|SCK))|."" , ""$1 "")  )"),"2_MISO")</f>
        <v>2_MISO</v>
      </c>
      <c r="J26" s="10" t="str">
        <f>IFERROR(__xludf.DUMMYFUNCTION("TRIM(REGEXREPLACE(R26 , ""FDCAN(._[\w_]+)|."" , ""$1 "")  )"),"")</f>
        <v/>
      </c>
      <c r="K26" s="16" t="str">
        <f>IFERROR(__xludf.DUMMYFUNCTION("TRIM(REGEXREPLACE(R26 , ""ETH_([\w_]+)|."" , ""$1 "")  )"),"")</f>
        <v/>
      </c>
      <c r="L26" s="9" t="str">
        <f>IFERROR(__xludf.DUMMYFUNCTION("TRIM(REGEXREPLACE(R26 , ""TIM(._\w+)|."" , ""$1 "")  )"),"1_CH2N 8_CH2N")</f>
        <v>1_CH2N 8_CH2N</v>
      </c>
      <c r="M26" s="16" t="str">
        <f>IFERROR(__xludf.DUMMYFUNCTION("TRIM(REGEXREPLACE(R26 , ""OTG_([\w_]+)|."" , ""$1 "") )"),"HS_DM")</f>
        <v>HS_DM</v>
      </c>
      <c r="N26" s="10" t="str">
        <f>IFERROR(__xludf.DUMMYFUNCTION("TRIM(REGEXREPLACE(R26 , ""US?ART(._(TX|RX))|."" , ""$1 "")  )"),"1_TX")</f>
        <v>1_TX</v>
      </c>
      <c r="O26" s="9" t="str">
        <f>IFERROR(__xludf.DUMMYFUNCTION("TRIM(REGEXREPLACE(Q26 , ""DAC(\d+_OUT\d+)|."" , ""$1 "")  )"),"")</f>
        <v/>
      </c>
      <c r="P26" s="9" t="str">
        <f>IFERROR(__xludf.DUMMYFUNCTION("TRIM(REGEXREPLACE(REGEXREPLACE(R26, "","", "" ""), ""(EVENTOUT|TRACECLK|TRACED.|SPI._[^ ]*|SAI._[^ ]*|ETH_[^ ]*|QUADSPI_[^ ]*|FMC_[^ ]*|UART._[^ ]*|FDCAN._[^ ]*|DFSDM._[^ ]*|OTG_[^ ]*|TIM\d+_[^ ]*)( |$)"", "" ""))"),"USART1_TX USART3_RTS/USART3_DE SDMMC2_D0")</f>
        <v>USART1_TX USART3_RTS/USART3_DE SDMMC2_D0</v>
      </c>
      <c r="Q26" s="14"/>
      <c r="R26" s="17" t="s">
        <v>102</v>
      </c>
    </row>
    <row r="27">
      <c r="A27" s="5">
        <v>54.0</v>
      </c>
      <c r="B27" s="5" t="s">
        <v>103</v>
      </c>
      <c r="C27" s="15" t="s">
        <v>104</v>
      </c>
      <c r="D27" s="15" t="str">
        <f>IF(COUNTIF(ConnectorPins!$F$2:$F$999, B27) &gt; 0, MATCH(B27, ConnectorPins!$F$2:$F$999, 0), IF(COUNTIF(ConnectorPins!$I$2:$I$999, B27) &gt; 0, MATCH(B27, ConnectorPins!$I$2:$I$999, 0), ""))</f>
        <v/>
      </c>
      <c r="G27" s="9" t="str">
        <f>IFERROR(__xludf.DUMMYFUNCTION("TRIM(REGEXREPLACE(Q27 , ""ADC(\d+_(INN\d+|INP\d+)*)|."" , ""$1 "")  )"),"")</f>
        <v/>
      </c>
      <c r="I27" s="10" t="str">
        <f>IFERROR(__xludf.DUMMYFUNCTION("TRIM(REGEXREPLACE(R27 , ""SPI(._(MOSI|MISO|SCK))|."" , ""$1 "")  )"),"2_MOSI")</f>
        <v>2_MOSI</v>
      </c>
      <c r="J27" s="10" t="str">
        <f>IFERROR(__xludf.DUMMYFUNCTION("TRIM(REGEXREPLACE(R27 , ""FDCAN(._[\w_]+)|."" , ""$1 "")  )"),"")</f>
        <v/>
      </c>
      <c r="K27" s="16" t="str">
        <f>IFERROR(__xludf.DUMMYFUNCTION("TRIM(REGEXREPLACE(R27 , ""ETH_([\w_]+)|."" , ""$1 "")  )"),"")</f>
        <v/>
      </c>
      <c r="L27" s="9" t="str">
        <f>IFERROR(__xludf.DUMMYFUNCTION("TRIM(REGEXREPLACE(R27 , ""TIM(._\w+)|."" , ""$1 "")  )"),"1_CH3N 8_CH3N")</f>
        <v>1_CH3N 8_CH3N</v>
      </c>
      <c r="M27" s="16" t="str">
        <f>IFERROR(__xludf.DUMMYFUNCTION("TRIM(REGEXREPLACE(R27 , ""OTG_([\w_]+)|."" , ""$1 "") )"),"HS_DP")</f>
        <v>HS_DP</v>
      </c>
      <c r="N27" s="10" t="str">
        <f>IFERROR(__xludf.DUMMYFUNCTION("TRIM(REGEXREPLACE(R27 , ""US?ART(._(TX|RX))|."" , ""$1 "")  )"),"1_RX")</f>
        <v>1_RX</v>
      </c>
      <c r="O27" s="9" t="str">
        <f>IFERROR(__xludf.DUMMYFUNCTION("TRIM(REGEXREPLACE(Q27 , ""DAC(\d+_OUT\d+)|."" , ""$1 "")  )"),"")</f>
        <v/>
      </c>
      <c r="P27" s="9" t="str">
        <f>IFERROR(__xludf.DUMMYFUNCTION("TRIM(REGEXREPLACE(REGEXREPLACE(R27, "","", "" ""), ""(EVENTOUT|TRACECLK|TRACED.|SPI._[^ ]*|SAI._[^ ]*|ETH_[^ ]*|QUADSPI_[^ ]*|FMC_[^ ]*|UART._[^ ]*|FDCAN._[^ ]*|DFSDM._[^ ]*|OTG_[^ ]*|TIM\d+_[^ ]*)( |$)"", "" ""))"),"RTC_REFIN USART1_RX SDMMC2_D1")</f>
        <v>RTC_REFIN USART1_RX SDMMC2_D1</v>
      </c>
      <c r="Q27" s="14"/>
      <c r="R27" s="17" t="s">
        <v>105</v>
      </c>
    </row>
    <row r="28">
      <c r="A28" s="5">
        <v>36.0</v>
      </c>
      <c r="B28" s="5" t="s">
        <v>106</v>
      </c>
      <c r="D28" s="15" t="str">
        <f>IF(COUNTIF(ConnectorPins!$F$2:$F$999, B28) &gt; 0, MATCH(B28, ConnectorPins!$F$2:$F$999, 0), IF(COUNTIF(ConnectorPins!$I$2:$I$999, B28) &gt; 0, MATCH(B28, ConnectorPins!$I$2:$I$999, 0) + 35, ""))</f>
        <v/>
      </c>
      <c r="G28" s="9" t="str">
        <f>IFERROR(__xludf.DUMMYFUNCTION("TRIM(REGEXREPLACE(Q28 , ""ADC(\d+_(INN\d+|INP\d+)*)|."" , ""$1 "")  )"),"")</f>
        <v/>
      </c>
      <c r="I28" s="10" t="str">
        <f>IFERROR(__xludf.DUMMYFUNCTION("TRIM(REGEXREPLACE(R28 , ""SPI(._(MOSI|MISO|SCK))|."" , ""$1 "")  )"),"3_MOSI")</f>
        <v>3_MOSI</v>
      </c>
      <c r="J28" s="10" t="str">
        <f>IFERROR(__xludf.DUMMYFUNCTION("TRIM(REGEXREPLACE(R28 , ""FDCAN(._[\w_]+)|."" , ""$1 "")  )"),"")</f>
        <v/>
      </c>
      <c r="K28" s="16" t="str">
        <f>IFERROR(__xludf.DUMMYFUNCTION("TRIM(REGEXREPLACE(R28 , ""ETH_([\w_]+)|."" , ""$1 "")  )"),"")</f>
        <v/>
      </c>
      <c r="L28" s="9" t="str">
        <f>IFERROR(__xludf.DUMMYFUNCTION("TRIM(REGEXREPLACE(R28 , ""TIM(._\w+)|."" , ""$1 "")  )"),"")</f>
        <v/>
      </c>
      <c r="M28" s="11" t="str">
        <f>IFERROR(__xludf.DUMMYFUNCTION("TRIM(REGEXREPLACE(R28 , ""OTG_([\w_]+)|."" , ""$1 "") )"),"")</f>
        <v/>
      </c>
      <c r="N28" s="9" t="str">
        <f>IFERROR(__xludf.DUMMYFUNCTION("TRIM(REGEXREPLACE(R28 , ""US?ART(._(TX|RX))|."" , ""$1 "")  )"),"")</f>
        <v/>
      </c>
      <c r="O28" s="9" t="str">
        <f>IFERROR(__xludf.DUMMYFUNCTION("TRIM(REGEXREPLACE(Q28 , ""DAC(\d+_OUT\d+)|."" , ""$1 "")  )"),"")</f>
        <v/>
      </c>
      <c r="P28" s="9" t="str">
        <f>IFERROR(__xludf.DUMMYFUNCTION("TRIM(REGEXREPLACE(REGEXREPLACE(R28, "","", "" ""), ""(EVENTOUT|TRACECLK|TRACED.|SPI._[^ ]*|SAI._[^ ]*|ETH_[^ ]*|QUADSPI_[^ ]*|FMC_[^ ]*|UART._[^ ]*|FDCAN._[^ ]*|DFSDM._[^ ]*|OTG_[^ ]*|TIM\d+_[^ ]*)( |$)"", "" ""))"),"RTC_OUT")</f>
        <v>RTC_OUT</v>
      </c>
      <c r="Q28" s="12" t="s">
        <v>107</v>
      </c>
      <c r="R28" s="17" t="s">
        <v>108</v>
      </c>
    </row>
    <row r="29">
      <c r="A29" s="5">
        <v>89.0</v>
      </c>
      <c r="B29" s="18" t="s">
        <v>109</v>
      </c>
      <c r="C29" s="19" t="s">
        <v>110</v>
      </c>
      <c r="D29" s="15" t="str">
        <f>IF(COUNTIF(ConnectorPins!$F$2:$F$999, B29) &gt; 0, MATCH(B29, ConnectorPins!$F$2:$F$999, 0), IF(COUNTIF(ConnectorPins!$I$2:$I$999, B29) &gt; 0, MATCH(B29, ConnectorPins!$I$2:$I$999, 0), ""))</f>
        <v/>
      </c>
      <c r="G29" s="9" t="str">
        <f>IFERROR(__xludf.DUMMYFUNCTION("TRIM(REGEXREPLACE(Q29 , ""ADC(\d+_(INN\d+|INP\d+)*)|."" , ""$1 "")  )"),"")</f>
        <v/>
      </c>
      <c r="I29" s="10" t="str">
        <f>IFERROR(__xludf.DUMMYFUNCTION("TRIM(REGEXREPLACE(R29 , ""SPI(._(MOSI|MISO|SCK))|."" , ""$1 "")  )"),"1_SCK 3_SCK 6_SCK")</f>
        <v>1_SCK 3_SCK 6_SCK</v>
      </c>
      <c r="J29" s="10" t="str">
        <f>IFERROR(__xludf.DUMMYFUNCTION("TRIM(REGEXREPLACE(R29 , ""FDCAN(._[\w_]+)|."" , ""$1 "")  )"),"")</f>
        <v/>
      </c>
      <c r="K29" s="16" t="str">
        <f>IFERROR(__xludf.DUMMYFUNCTION("TRIM(REGEXREPLACE(R29 , ""ETH_([\w_]+)|."" , ""$1 "")  )"),"")</f>
        <v/>
      </c>
      <c r="L29" s="10" t="str">
        <f>IFERROR(__xludf.DUMMYFUNCTION("TRIM(REGEXREPLACE(R29 , ""TIM(._\w+)|."" , ""$1 "")  )"),"2_CH2")</f>
        <v>2_CH2</v>
      </c>
      <c r="M29" s="11" t="str">
        <f>IFERROR(__xludf.DUMMYFUNCTION("TRIM(REGEXREPLACE(R29 , ""OTG_([\w_]+)|."" , ""$1 "") )"),"")</f>
        <v/>
      </c>
      <c r="N29" s="10" t="str">
        <f>IFERROR(__xludf.DUMMYFUNCTION("TRIM(REGEXREPLACE(R29 , ""US?ART(._(TX|RX))|."" , ""$1 "")  )"),"7_RX")</f>
        <v>7_RX</v>
      </c>
      <c r="O29" s="9" t="str">
        <f>IFERROR(__xludf.DUMMYFUNCTION("TRIM(REGEXREPLACE(Q29 , ""DAC(\d+_OUT\d+)|."" , ""$1 "")  )"),"")</f>
        <v/>
      </c>
      <c r="P29" s="9" t="str">
        <f>IFERROR(__xludf.DUMMYFUNCTION("TRIM(REGEXREPLACE(REGEXREPLACE(R29, "","", "" ""), ""(EVENTOUT|TRACECLK|TRACED.|SPI._[^ ]*|SAI._[^ ]*|ETH_[^ ]*|QUADSPI_[^ ]*|FMC_[^ ]*|UART._[^ ]*|FDCAN._[^ ]*|DFSDM._[^ ]*|OTG_[^ ]*|TIM\d+_[^ ]*)( |$)"", "" ""))"),"JTDO/TRACESWO HRTIM_FLT4 SDMMC2_D2 CRS_SYNC")</f>
        <v>JTDO/TRACESWO HRTIM_FLT4 SDMMC2_D2 CRS_SYNC</v>
      </c>
      <c r="Q29" s="14"/>
      <c r="R29" s="17" t="s">
        <v>111</v>
      </c>
    </row>
    <row r="30">
      <c r="A30" s="5">
        <v>90.0</v>
      </c>
      <c r="B30" s="5" t="s">
        <v>112</v>
      </c>
      <c r="C30" s="15" t="s">
        <v>113</v>
      </c>
      <c r="D30" s="15" t="str">
        <f>IF(COUNTIF(ConnectorPins!$F$2:$F$999, B30) &gt; 0, MATCH(B30, ConnectorPins!$F$2:$F$999, 0), IF(COUNTIF(ConnectorPins!$I$2:$I$999, B30) &gt; 0, MATCH(B30, ConnectorPins!$I$2:$I$999, 0), ""))</f>
        <v/>
      </c>
      <c r="G30" s="9" t="str">
        <f>IFERROR(__xludf.DUMMYFUNCTION("TRIM(REGEXREPLACE(Q30 , ""ADC(\d+_(INN\d+|INP\d+)*)|."" , ""$1 "")  )"),"")</f>
        <v/>
      </c>
      <c r="I30" s="10" t="str">
        <f>IFERROR(__xludf.DUMMYFUNCTION("TRIM(REGEXREPLACE(R30 , ""SPI(._(MOSI|MISO|SCK))|."" , ""$1 "")  )"),"1_MISO 3_MISO 6_MISO")</f>
        <v>1_MISO 3_MISO 6_MISO</v>
      </c>
      <c r="J30" s="10" t="str">
        <f>IFERROR(__xludf.DUMMYFUNCTION("TRIM(REGEXREPLACE(R30 , ""FDCAN(._[\w_]+)|."" , ""$1 "")  )"),"")</f>
        <v/>
      </c>
      <c r="K30" s="16" t="str">
        <f>IFERROR(__xludf.DUMMYFUNCTION("TRIM(REGEXREPLACE(R30 , ""ETH_([\w_]+)|."" , ""$1 "")  )"),"")</f>
        <v/>
      </c>
      <c r="L30" s="10" t="str">
        <f>IFERROR(__xludf.DUMMYFUNCTION("TRIM(REGEXREPLACE(R30 , ""TIM(._\w+)|."" , ""$1 "")  )"),"3_CH1")</f>
        <v>3_CH1</v>
      </c>
      <c r="M30" s="20" t="str">
        <f>IFERROR(__xludf.DUMMYFUNCTION("TRIM(REGEXREPLACE(R30 , ""OTG_([\w_]+)|."" , ""$1 "") )"),"")</f>
        <v/>
      </c>
      <c r="N30" s="10" t="str">
        <f>IFERROR(__xludf.DUMMYFUNCTION("TRIM(REGEXREPLACE(R30 , ""US?ART(._(TX|RX))|."" , ""$1 "")  )"),"7_TX")</f>
        <v>7_TX</v>
      </c>
      <c r="O30" s="9" t="str">
        <f>IFERROR(__xludf.DUMMYFUNCTION("TRIM(REGEXREPLACE(Q30 , ""DAC(\d+_OUT\d+)|."" , ""$1 "")  )"),"")</f>
        <v/>
      </c>
      <c r="P30" s="9" t="str">
        <f>IFERROR(__xludf.DUMMYFUNCTION("TRIM(REGEXREPLACE(REGEXREPLACE(R30, "","", "" ""), ""(EVENTOUT|TRACECLK|TRACED.|SPI._[^ ]*|SAI._[^ ]*|ETH_[^ ]*|QUADSPI_[^ ]*|FMC_[^ ]*|UART._[^ ]*|FDCAN._[^ ]*|DFSDM._[^ ]*|OTG_[^ ]*|TIM\d+_[^ ]*)( |$)"", "" ""))"),"NJTRST HRTIM_EEV6 SDMMC2_D3")</f>
        <v>NJTRST HRTIM_EEV6 SDMMC2_D3</v>
      </c>
      <c r="Q30" s="14"/>
      <c r="R30" s="17" t="s">
        <v>114</v>
      </c>
    </row>
    <row r="31">
      <c r="A31" s="5">
        <v>91.0</v>
      </c>
      <c r="B31" s="18" t="s">
        <v>115</v>
      </c>
      <c r="C31" s="21"/>
      <c r="D31" s="15">
        <f>IF(COUNTIF(ConnectorPins!$F$2:$F$999, B31) &gt; 0, MATCH(B31, ConnectorPins!$F$2:$F$999, 0), IF(COUNTIF(ConnectorPins!$I$2:$I$999, B31) &gt; 0, MATCH(B31, ConnectorPins!$I$2:$I$999, 0), ""))</f>
        <v>13</v>
      </c>
      <c r="E31" s="15" t="s">
        <v>93</v>
      </c>
      <c r="F31" s="15" t="s">
        <v>116</v>
      </c>
      <c r="G31" s="9" t="str">
        <f>IFERROR(__xludf.DUMMYFUNCTION("TRIM(REGEXREPLACE(Q31 , ""ADC(\d+_(INN\d+|INP\d+)*)|."" , ""$1 "")  )"),"")</f>
        <v/>
      </c>
      <c r="I31" s="10" t="str">
        <f>IFERROR(__xludf.DUMMYFUNCTION("TRIM(REGEXREPLACE(R31 , ""SPI(._(MOSI|MISO|SCK))|."" , ""$1 "")  )"),"1_MOSI 3_MOSI 6_MOSI")</f>
        <v>1_MOSI 3_MOSI 6_MOSI</v>
      </c>
      <c r="J31" s="10" t="str">
        <f>IFERROR(__xludf.DUMMYFUNCTION("TRIM(REGEXREPLACE(R31 , ""FDCAN(._[\w_]+)|."" , ""$1 "")  )"),"2_RX")</f>
        <v>2_RX</v>
      </c>
      <c r="K31" s="16" t="str">
        <f>IFERROR(__xludf.DUMMYFUNCTION("TRIM(REGEXREPLACE(R31 , ""ETH_([\w_]+)|."" , ""$1 "")  )"),"PPS_OUT")</f>
        <v>PPS_OUT</v>
      </c>
      <c r="L31" s="10" t="str">
        <f>IFERROR(__xludf.DUMMYFUNCTION("TRIM(REGEXREPLACE(R31 , ""TIM(._\w+)|."" , ""$1 "")  )"),"3_CH2")</f>
        <v>3_CH2</v>
      </c>
      <c r="M31" s="16" t="str">
        <f>IFERROR(__xludf.DUMMYFUNCTION("TRIM(REGEXREPLACE(R31 , ""OTG_([\w_]+)|."" , ""$1 "") )"),"HS_ULPI_D7")</f>
        <v>HS_ULPI_D7</v>
      </c>
      <c r="N31" s="9" t="str">
        <f>IFERROR(__xludf.DUMMYFUNCTION("TRIM(REGEXREPLACE(R31 , ""US?ART(._(TX|RX))|."" , ""$1 "")  )"),"5_RX")</f>
        <v>5_RX</v>
      </c>
      <c r="O31" s="9" t="str">
        <f>IFERROR(__xludf.DUMMYFUNCTION("TRIM(REGEXREPLACE(Q31 , ""DAC(\d+_OUT\d+)|."" , ""$1 "")  )"),"")</f>
        <v/>
      </c>
      <c r="P31" s="9" t="str">
        <f>IFERROR(__xludf.DUMMYFUNCTION("TRIM(REGEXREPLACE(REGEXREPLACE(R31, "","", "" ""), ""(EVENTOUT|TRACECLK|TRACED.|SPI._[^ ]*|SAI._[^ ]*|ETH_[^ ]*|QUADSPI_[^ ]*|FMC_[^ ]*|UART._[^ ]*|FDCAN._[^ ]*|DFSDM._[^ ]*|OTG_[^ ]*|TIM\d+_[^ ]*)( |$)"", "" ""))"),"HRTIM_EEV7 I2C1_SMBA I2C4_SMBA DCMI_D10")</f>
        <v>HRTIM_EEV7 I2C1_SMBA I2C4_SMBA DCMI_D10</v>
      </c>
      <c r="Q31" s="14"/>
      <c r="R31" s="17" t="s">
        <v>117</v>
      </c>
    </row>
    <row r="32">
      <c r="A32" s="5">
        <v>92.0</v>
      </c>
      <c r="B32" s="18" t="s">
        <v>118</v>
      </c>
      <c r="C32" s="21"/>
      <c r="D32" s="15">
        <f>IF(COUNTIF(ConnectorPins!$F$2:$F$999, B32) &gt; 0, MATCH(B32, ConnectorPins!$F$2:$F$999, 0), IF(COUNTIF(ConnectorPins!$I$2:$I$999, B32) &gt; 0, MATCH(B32, ConnectorPins!$I$2:$I$999, 0), ""))</f>
        <v>14</v>
      </c>
      <c r="E32" s="15" t="s">
        <v>97</v>
      </c>
      <c r="F32" s="15" t="s">
        <v>119</v>
      </c>
      <c r="G32" s="9" t="str">
        <f>IFERROR(__xludf.DUMMYFUNCTION("TRIM(REGEXREPLACE(Q32 , ""ADC(\d+_(INN\d+|INP\d+)*)|."" , ""$1 "")  )"),"")</f>
        <v/>
      </c>
      <c r="I32" s="9" t="str">
        <f>IFERROR(__xludf.DUMMYFUNCTION("TRIM(REGEXREPLACE(R32 , ""SPI(._(MOSI|MISO|SCK))|."" , ""$1 "")  )"),"")</f>
        <v/>
      </c>
      <c r="J32" s="10" t="str">
        <f>IFERROR(__xludf.DUMMYFUNCTION("TRIM(REGEXREPLACE(R32 , ""FDCAN(._[\w_]+)|."" , ""$1 "")  )"),"2_TX")</f>
        <v>2_TX</v>
      </c>
      <c r="K32" s="16" t="str">
        <f>IFERROR(__xludf.DUMMYFUNCTION("TRIM(REGEXREPLACE(R32 , ""ETH_([\w_]+)|."" , ""$1 "")  )"),"")</f>
        <v/>
      </c>
      <c r="L32" s="9" t="str">
        <f>IFERROR(__xludf.DUMMYFUNCTION("TRIM(REGEXREPLACE(R32 , ""TIM(._\w+)|."" , ""$1 "")  )"),"4_CH1")</f>
        <v>4_CH1</v>
      </c>
      <c r="M32" s="16" t="str">
        <f>IFERROR(__xludf.DUMMYFUNCTION("TRIM(REGEXREPLACE(R32 , ""OTG_([\w_]+)|."" , ""$1 "") )"),"")</f>
        <v/>
      </c>
      <c r="N32" s="9" t="str">
        <f>IFERROR(__xludf.DUMMYFUNCTION("TRIM(REGEXREPLACE(R32 , ""US?ART(._(TX|RX))|."" , ""$1 "")  )"),"1_TX 1_TX 5_TX")</f>
        <v>1_TX 1_TX 5_TX</v>
      </c>
      <c r="O32" s="9" t="str">
        <f>IFERROR(__xludf.DUMMYFUNCTION("TRIM(REGEXREPLACE(Q32 , ""DAC(\d+_OUT\d+)|."" , ""$1 "")  )"),"")</f>
        <v/>
      </c>
      <c r="P32" s="9" t="str">
        <f>IFERROR(__xludf.DUMMYFUNCTION("TRIM(REGEXREPLACE(REGEXREPLACE(R32, "","", "" ""), ""(EVENTOUT|TRACECLK|TRACED.|SPI._[^ ]*|SAI._[^ ]*|ETH_[^ ]*|QUADSPI_[^ ]*|FMC_[^ ]*|UART._[^ ]*|FDCAN._[^ ]*|DFSDM._[^ ]*|OTG_[^ ]*|TIM\d+_[^ ]*)( |$)"", "" ""))"),"HRTIM_EEV8 I2C1_SCL CEC I2C4_SCL USART1_TX LP DCMI_D5")</f>
        <v>HRTIM_EEV8 I2C1_SCL CEC I2C4_SCL USART1_TX LP DCMI_D5</v>
      </c>
      <c r="Q32" s="14"/>
      <c r="R32" s="17" t="s">
        <v>120</v>
      </c>
    </row>
    <row r="33">
      <c r="A33" s="5">
        <v>93.0</v>
      </c>
      <c r="B33" s="5" t="s">
        <v>121</v>
      </c>
      <c r="D33" s="15">
        <f>IF(COUNTIF(ConnectorPins!$F$2:$F$999, B33) &gt; 0, MATCH(B33, ConnectorPins!$F$2:$F$999, 0), IF(COUNTIF(ConnectorPins!$I$2:$I$999, B33) &gt; 0, MATCH(B33, ConnectorPins!$I$2:$I$999, 0), ""))</f>
        <v>15</v>
      </c>
      <c r="G33" s="9" t="str">
        <f>IFERROR(__xludf.DUMMYFUNCTION("TRIM(REGEXREPLACE(Q33 , ""ADC(\d+_(INN\d+|INP\d+)*)|."" , ""$1 "")  )"),"")</f>
        <v/>
      </c>
      <c r="I33" s="9" t="str">
        <f>IFERROR(__xludf.DUMMYFUNCTION("TRIM(REGEXREPLACE(R33 , ""SPI(._(MOSI|MISO|SCK))|."" , ""$1 "")  )"),"")</f>
        <v/>
      </c>
      <c r="J33" s="10" t="str">
        <f>IFERROR(__xludf.DUMMYFUNCTION("TRIM(REGEXREPLACE(R33 , ""FDCAN(._[\w_]+)|."" , ""$1 "")  )"),"")</f>
        <v/>
      </c>
      <c r="K33" s="16" t="str">
        <f>IFERROR(__xludf.DUMMYFUNCTION("TRIM(REGEXREPLACE(R33 , ""ETH_([\w_]+)|."" , ""$1 "")  )"),"")</f>
        <v/>
      </c>
      <c r="L33" s="9" t="str">
        <f>IFERROR(__xludf.DUMMYFUNCTION("TRIM(REGEXREPLACE(R33 , ""TIM(._\w+)|."" , ""$1 "")  )"),"4_CH2")</f>
        <v>4_CH2</v>
      </c>
      <c r="M33" s="16" t="str">
        <f>IFERROR(__xludf.DUMMYFUNCTION("TRIM(REGEXREPLACE(R33 , ""OTG_([\w_]+)|."" , ""$1 "") )"),"")</f>
        <v/>
      </c>
      <c r="N33" s="9" t="str">
        <f>IFERROR(__xludf.DUMMYFUNCTION("TRIM(REGEXREPLACE(R33 , ""US?ART(._(TX|RX))|."" , ""$1 "")  )"),"1_RX 1_RX")</f>
        <v>1_RX 1_RX</v>
      </c>
      <c r="O33" s="9" t="str">
        <f>IFERROR(__xludf.DUMMYFUNCTION("TRIM(REGEXREPLACE(Q33 , ""DAC(\d+_OUT\d+)|."" , ""$1 "")  )"),"")</f>
        <v/>
      </c>
      <c r="P33" s="9" t="str">
        <f>IFERROR(__xludf.DUMMYFUNCTION("TRIM(REGEXREPLACE(REGEXREPLACE(R33, "","", "" ""), ""(EVENTOUT|TRACECLK|TRACED.|SPI._[^ ]*|SAI._[^ ]*|ETH_[^ ]*|QUADSPI_[^ ]*|FMC_[^ ]*|UART._[^ ]*|FDCAN._[^ ]*|DFSDM._[^ ]*|OTG_[^ ]*|TIM\d+_[^ ]*)( |$)"", "" ""))"),"HRTIM_EEV9 I2C1_SDA I2C4_SDA USART1_RX LP DCMI_VSYNC")</f>
        <v>HRTIM_EEV9 I2C1_SDA I2C4_SDA USART1_RX LP DCMI_VSYNC</v>
      </c>
      <c r="Q33" s="12" t="s">
        <v>122</v>
      </c>
      <c r="R33" s="17" t="s">
        <v>123</v>
      </c>
    </row>
    <row r="34">
      <c r="A34" s="5">
        <v>95.0</v>
      </c>
      <c r="B34" s="18" t="s">
        <v>124</v>
      </c>
      <c r="C34" s="7"/>
      <c r="D34" s="15">
        <f>IF(COUNTIF(ConnectorPins!$F$2:$F$999, B34) &gt; 0, MATCH(B34, ConnectorPins!$F$2:$F$999, 0), IF(COUNTIF(ConnectorPins!$I$2:$I$999, B34) &gt; 0, MATCH(B34, ConnectorPins!$I$2:$I$999, 0), ""))</f>
        <v>16</v>
      </c>
      <c r="E34" s="15" t="s">
        <v>125</v>
      </c>
      <c r="F34" s="15"/>
      <c r="G34" s="9" t="str">
        <f>IFERROR(__xludf.DUMMYFUNCTION("TRIM(REGEXREPLACE(Q34 , ""ADC(\d+_(INN\d+|INP\d+)*)|."" , ""$1 "")  )"),"")</f>
        <v/>
      </c>
      <c r="I34" s="10" t="str">
        <f>IFERROR(__xludf.DUMMYFUNCTION("TRIM(REGEXREPLACE(R34 , ""SPI(._(MOSI|MISO|SCK))|."" , ""$1 "")  )"),"")</f>
        <v/>
      </c>
      <c r="J34" s="10" t="str">
        <f>IFERROR(__xludf.DUMMYFUNCTION("TRIM(REGEXREPLACE(R34 , ""FDCAN(._[\w_]+)|."" , ""$1 "")  )"),"1_RX")</f>
        <v>1_RX</v>
      </c>
      <c r="K34" s="16" t="str">
        <f>IFERROR(__xludf.DUMMYFUNCTION("TRIM(REGEXREPLACE(R34 , ""ETH_([\w_]+)|."" , ""$1 "")  )"),"MII_TXD3")</f>
        <v>MII_TXD3</v>
      </c>
      <c r="L34" s="10" t="str">
        <f>IFERROR(__xludf.DUMMYFUNCTION("TRIM(REGEXREPLACE(R34 , ""TIM(._\w+)|."" , ""$1 "")  )"),"4_CH3")</f>
        <v>4_CH3</v>
      </c>
      <c r="M34" s="16" t="str">
        <f>IFERROR(__xludf.DUMMYFUNCTION("TRIM(REGEXREPLACE(R34 , ""OTG_([\w_]+)|."" , ""$1 "") )"),"")</f>
        <v/>
      </c>
      <c r="N34" s="9" t="str">
        <f>IFERROR(__xludf.DUMMYFUNCTION("TRIM(REGEXREPLACE(R34 , ""US?ART(._(TX|RX))|."" , ""$1 "")  )"),"4_RX")</f>
        <v>4_RX</v>
      </c>
      <c r="O34" s="9" t="str">
        <f>IFERROR(__xludf.DUMMYFUNCTION("TRIM(REGEXREPLACE(Q34 , ""DAC(\d+_OUT\d+)|."" , ""$1 "")  )"),"")</f>
        <v/>
      </c>
      <c r="P34" s="9" t="str">
        <f>IFERROR(__xludf.DUMMYFUNCTION("TRIM(REGEXREPLACE(REGEXREPLACE(R34, "","", "" ""), ""(EVENTOUT|TRACECLK|TRACED.|SPI._[^ ]*|SAI._[^ ]*|ETH_[^ ]*|QUADSPI_[^ ]*|FMC_[^ ]*|UART._[^ ]*|FDCAN._[^ ]*|DFSDM._[^ ]*|OTG_[^ ]*|TIM\d+_[^ ]*)( |$)"", "" ""))"),"I2C1_SCL I2C4_SCL SDMMC1_CKIN SDMMC2_D4 SDMMC1_D4 DCMI_D6 LCD_B6")</f>
        <v>I2C1_SCL I2C4_SCL SDMMC1_CKIN SDMMC2_D4 SDMMC1_D4 DCMI_D6 LCD_B6</v>
      </c>
      <c r="Q34" s="14"/>
      <c r="R34" s="17" t="s">
        <v>126</v>
      </c>
    </row>
    <row r="35">
      <c r="A35" s="5">
        <v>96.0</v>
      </c>
      <c r="B35" s="18" t="s">
        <v>127</v>
      </c>
      <c r="C35" s="7"/>
      <c r="D35" s="15">
        <f>IF(COUNTIF(ConnectorPins!$F$2:$F$999, B35) &gt; 0, MATCH(B35, ConnectorPins!$F$2:$F$999, 0), IF(COUNTIF(ConnectorPins!$I$2:$I$999, B35) &gt; 0, MATCH(B35, ConnectorPins!$I$2:$I$999, 0), ""))</f>
        <v>17</v>
      </c>
      <c r="E35" s="15" t="s">
        <v>128</v>
      </c>
      <c r="F35" s="15"/>
      <c r="G35" s="9" t="str">
        <f>IFERROR(__xludf.DUMMYFUNCTION("TRIM(REGEXREPLACE(Q35 , ""ADC(\d+_(INN\d+|INP\d+)*)|."" , ""$1 "")  )"),"")</f>
        <v/>
      </c>
      <c r="I35" s="10" t="str">
        <f>IFERROR(__xludf.DUMMYFUNCTION("TRIM(REGEXREPLACE(R35 , ""SPI(._(MOSI|MISO|SCK))|."" , ""$1 "")  )"),"")</f>
        <v/>
      </c>
      <c r="J35" s="10" t="str">
        <f>IFERROR(__xludf.DUMMYFUNCTION("TRIM(REGEXREPLACE(R35 , ""FDCAN(._[\w_]+)|."" , ""$1 "")  )"),"1_TX")</f>
        <v>1_TX</v>
      </c>
      <c r="K35" s="16" t="str">
        <f>IFERROR(__xludf.DUMMYFUNCTION("TRIM(REGEXREPLACE(R35 , ""ETH_([\w_]+)|."" , ""$1 "")  )"),"")</f>
        <v/>
      </c>
      <c r="L35" s="10" t="str">
        <f>IFERROR(__xludf.DUMMYFUNCTION("TRIM(REGEXREPLACE(R35 , ""TIM(._\w+)|."" , ""$1 "")  )"),"4_CH4")</f>
        <v>4_CH4</v>
      </c>
      <c r="M35" s="16" t="str">
        <f>IFERROR(__xludf.DUMMYFUNCTION("TRIM(REGEXREPLACE(R35 , ""OTG_([\w_]+)|."" , ""$1 "") )"),"")</f>
        <v/>
      </c>
      <c r="N35" s="9" t="str">
        <f>IFERROR(__xludf.DUMMYFUNCTION("TRIM(REGEXREPLACE(R35 , ""US?ART(._(TX|RX))|."" , ""$1 "")  )"),"4_TX")</f>
        <v>4_TX</v>
      </c>
      <c r="O35" s="9" t="str">
        <f>IFERROR(__xludf.DUMMYFUNCTION("TRIM(REGEXREPLACE(Q35 , ""DAC(\d+_OUT\d+)|."" , ""$1 "")  )"),"")</f>
        <v/>
      </c>
      <c r="P35" s="9" t="str">
        <f>IFERROR(__xludf.DUMMYFUNCTION("TRIM(REGEXREPLACE(REGEXREPLACE(R35, "","", "" ""), ""(EVENTOUT|TRACECLK|TRACED.|SPI._[^ ]*|SAI._[^ ]*|ETH_[^ ]*|QUADSPI_[^ ]*|FMC_[^ ]*|UART._[^ ]*|FDCAN._[^ ]*|DFSDM._[^ ]*|OTG_[^ ]*|TIM\d+_[^ ]*)( |$)"", "" ""))"),"I2C1_SDA I2C4_SDA SDMMC1_CDIR SDMMC2_D5 I2C4_SMBA SDMMC1_D5 DCMI_D7 LCD_B7")</f>
        <v>I2C1_SDA I2C4_SDA SDMMC1_CDIR SDMMC2_D5 I2C4_SMBA SDMMC1_D5 DCMI_D7 LCD_B7</v>
      </c>
      <c r="Q35" s="14"/>
      <c r="R35" s="17" t="s">
        <v>129</v>
      </c>
    </row>
    <row r="36">
      <c r="A36" s="5">
        <v>15.0</v>
      </c>
      <c r="B36" s="15" t="s">
        <v>130</v>
      </c>
      <c r="D36" s="15">
        <f>IF(COUNTIF(ConnectorPins!$F$2:$F$999, B36) &gt; 0, MATCH(B36, ConnectorPins!$F$2:$F$999, 0), IF(COUNTIF(ConnectorPins!$I$2:$I$999, B36) &gt; 0, MATCH(B36, ConnectorPins!$I$2:$I$999, 0) + 35, ""))</f>
        <v>67</v>
      </c>
      <c r="G36" s="9" t="str">
        <f>IFERROR(__xludf.DUMMYFUNCTION("TRIM(REGEXREPLACE(Q36 , ""ADC(\d+_(INN\d+|INP\d+)*)|."" , ""$1 "")  )"),"123_INP10")</f>
        <v>123_INP10</v>
      </c>
      <c r="I36" s="9" t="str">
        <f>IFERROR(__xludf.DUMMYFUNCTION("TRIM(REGEXREPLACE(R36 , ""SPI(._(MOSI|MISO|SCK))|."" , ""$1 "")  )"),"")</f>
        <v/>
      </c>
      <c r="J36" s="10" t="str">
        <f>IFERROR(__xludf.DUMMYFUNCTION("TRIM(REGEXREPLACE(R36 , ""FDCAN(._[\w_]+)|."" , ""$1 "")  )"),"")</f>
        <v/>
      </c>
      <c r="K36" s="16" t="str">
        <f>IFERROR(__xludf.DUMMYFUNCTION("TRIM(REGEXREPLACE(R36 , ""ETH_([\w_]+)|."" , ""$1 "")  )"),"")</f>
        <v/>
      </c>
      <c r="L36" s="9" t="str">
        <f>IFERROR(__xludf.DUMMYFUNCTION("TRIM(REGEXREPLACE(R36 , ""TIM(._\w+)|."" , ""$1 "")  )"),"")</f>
        <v/>
      </c>
      <c r="M36" s="16" t="str">
        <f>IFERROR(__xludf.DUMMYFUNCTION("TRIM(REGEXREPLACE(R36 , ""OTG_([\w_]+)|."" , ""$1 "") )"),"HS_ULPI_STP")</f>
        <v>HS_ULPI_STP</v>
      </c>
      <c r="N36" s="9" t="str">
        <f>IFERROR(__xludf.DUMMYFUNCTION("TRIM(REGEXREPLACE(R36 , ""US?ART(._(TX|RX))|."" , ""$1 "")  )"),"")</f>
        <v/>
      </c>
      <c r="O36" s="9" t="str">
        <f>IFERROR(__xludf.DUMMYFUNCTION("TRIM(REGEXREPLACE(Q36 , ""DAC(\d+_OUT\d+)|."" , ""$1 "")  )"),"")</f>
        <v/>
      </c>
      <c r="P36" s="9" t="str">
        <f>IFERROR(__xludf.DUMMYFUNCTION("TRIM(REGEXREPLACE(REGEXREPLACE(R36, "","", "" ""), ""(EVENTOUT|TRACECLK|TRACED.|SPI._[^ ]*|SAI._[^ ]*|ETH_[^ ]*|QUADSPI_[^ ]*|FMC_[^ ]*|UART._[^ ]*|FDCAN._[^ ]*|DFSDM._[^ ]*|OTG_[^ ]*|TIM\d+_[^ ]*)( |$)"", "" ""))"),"LCD_R5")</f>
        <v>LCD_R5</v>
      </c>
      <c r="Q36" s="12" t="s">
        <v>131</v>
      </c>
      <c r="R36" s="17" t="s">
        <v>132</v>
      </c>
    </row>
    <row r="37">
      <c r="A37" s="5">
        <v>16.0</v>
      </c>
      <c r="B37" s="18" t="s">
        <v>133</v>
      </c>
      <c r="C37" s="7"/>
      <c r="D37" s="15">
        <f>IF(COUNTIF(ConnectorPins!$F$2:$F$999, B37) &gt; 0, MATCH(B37, ConnectorPins!$F$2:$F$999, 0), IF(COUNTIF(ConnectorPins!$I$2:$I$999, B37) &gt; 0, MATCH(B37, ConnectorPins!$I$2:$I$999, 0) + 35, ""))</f>
        <v>27</v>
      </c>
      <c r="E37" s="15" t="s">
        <v>134</v>
      </c>
      <c r="F37" s="15"/>
      <c r="G37" s="9" t="str">
        <f>IFERROR(__xludf.DUMMYFUNCTION("TRIM(REGEXREPLACE(Q37 , ""ADC(\d+_(INN\d+|INP\d+)*)|."" , ""$1 "")  )"),"123_INN10 123_INP11")</f>
        <v>123_INN10 123_INP11</v>
      </c>
      <c r="I37" s="10" t="str">
        <f>IFERROR(__xludf.DUMMYFUNCTION("TRIM(REGEXREPLACE(R37 , ""SPI(._(MOSI|MISO|SCK))|."" , ""$1 "")  )"),"2_MOSI")</f>
        <v>2_MOSI</v>
      </c>
      <c r="J37" s="10" t="str">
        <f>IFERROR(__xludf.DUMMYFUNCTION("TRIM(REGEXREPLACE(R37 , ""FDCAN(._[\w_]+)|."" , ""$1 "")  )"),"")</f>
        <v/>
      </c>
      <c r="K37" s="16" t="str">
        <f>IFERROR(__xludf.DUMMYFUNCTION("TRIM(REGEXREPLACE(R37 , ""ETH_([\w_]+)|."" , ""$1 "")  )"),"MDC")</f>
        <v>MDC</v>
      </c>
      <c r="L37" s="9" t="str">
        <f>IFERROR(__xludf.DUMMYFUNCTION("TRIM(REGEXREPLACE(R37 , ""TIM(._\w+)|."" , ""$1 "")  )"),"")</f>
        <v/>
      </c>
      <c r="M37" s="16" t="str">
        <f>IFERROR(__xludf.DUMMYFUNCTION("TRIM(REGEXREPLACE(R37 , ""OTG_([\w_]+)|."" , ""$1 "") )"),"")</f>
        <v/>
      </c>
      <c r="N37" s="9" t="str">
        <f>IFERROR(__xludf.DUMMYFUNCTION("TRIM(REGEXREPLACE(R37 , ""US?ART(._(TX|RX))|."" , ""$1 "")  )"),"")</f>
        <v/>
      </c>
      <c r="O37" s="9" t="str">
        <f>IFERROR(__xludf.DUMMYFUNCTION("TRIM(REGEXREPLACE(Q37 , ""DAC(\d+_OUT\d+)|."" , ""$1 "")  )"),"")</f>
        <v/>
      </c>
      <c r="P37" s="9" t="str">
        <f>IFERROR(__xludf.DUMMYFUNCTION("TRIM(REGEXREPLACE(REGEXREPLACE(R37, "","", "" ""), ""(EVENTOUT|TRACECLK|TRACED.|SPI._[^ ]*|SAI._[^ ]*|ETH_[^ ]*|QUADSPI_[^ ]*|FMC_[^ ]*|UART._[^ ]*|FDCAN._[^ ]*|DFSDM._[^ ]*|OTG_[^ ]*|TIM\d+_[^ ]*)( |$)"", "" ""))"),"SDMMC2_CK MDIOS_MDC")</f>
        <v>SDMMC2_CK MDIOS_MDC</v>
      </c>
      <c r="Q37" s="12" t="s">
        <v>135</v>
      </c>
      <c r="R37" s="17" t="s">
        <v>136</v>
      </c>
    </row>
    <row r="38">
      <c r="A38" s="5">
        <v>78.0</v>
      </c>
      <c r="B38" s="18" t="s">
        <v>137</v>
      </c>
      <c r="C38" s="15" t="s">
        <v>138</v>
      </c>
      <c r="D38" s="15">
        <f>IF(COUNTIF(ConnectorPins!$F$2:$F$999, B38) &gt; 0, MATCH(B38, ConnectorPins!$F$2:$F$999, 0), IF(COUNTIF(ConnectorPins!$I$2:$I$999, B38) &gt; 0, MATCH(B38, ConnectorPins!$I$2:$I$999, 0), ""))</f>
        <v>23</v>
      </c>
      <c r="E38" s="22" t="s">
        <v>138</v>
      </c>
      <c r="F38" s="22" t="s">
        <v>23</v>
      </c>
      <c r="G38" s="9" t="str">
        <f>IFERROR(__xludf.DUMMYFUNCTION("TRIM(REGEXREPLACE(Q38 , ""ADC(\d+_(INN\d+|INP\d+)*)|."" , ""$1 "")  )"),"")</f>
        <v/>
      </c>
      <c r="I38" s="10" t="str">
        <f>IFERROR(__xludf.DUMMYFUNCTION("TRIM(REGEXREPLACE(R38 , ""SPI(._(MOSI|MISO|SCK))|."" , ""$1 "")  )"),"3_SCK")</f>
        <v>3_SCK</v>
      </c>
      <c r="J38" s="10" t="str">
        <f>IFERROR(__xludf.DUMMYFUNCTION("TRIM(REGEXREPLACE(R38 , ""FDCAN(._[\w_]+)|."" , ""$1 "")  )"),"")</f>
        <v/>
      </c>
      <c r="K38" s="16" t="str">
        <f>IFERROR(__xludf.DUMMYFUNCTION("TRIM(REGEXREPLACE(R38 , ""ETH_([\w_]+)|."" , ""$1 "")  )"),"")</f>
        <v/>
      </c>
      <c r="L38" s="9" t="str">
        <f>IFERROR(__xludf.DUMMYFUNCTION("TRIM(REGEXREPLACE(R38 , ""TIM(._\w+)|."" , ""$1 "")  )"),"")</f>
        <v/>
      </c>
      <c r="M38" s="16" t="str">
        <f>IFERROR(__xludf.DUMMYFUNCTION("TRIM(REGEXREPLACE(R38 , ""OTG_([\w_]+)|."" , ""$1 "") )"),"")</f>
        <v/>
      </c>
      <c r="N38" s="9" t="str">
        <f>IFERROR(__xludf.DUMMYFUNCTION("TRIM(REGEXREPLACE(R38 , ""US?ART(._(TX|RX))|."" , ""$1 "")  )"),"3_TX 4_TX")</f>
        <v>3_TX 4_TX</v>
      </c>
      <c r="O38" s="9" t="str">
        <f>IFERROR(__xludf.DUMMYFUNCTION("TRIM(REGEXREPLACE(Q38 , ""DAC(\d+_OUT\d+)|."" , ""$1 "")  )"),"")</f>
        <v/>
      </c>
      <c r="P38" s="9" t="str">
        <f>IFERROR(__xludf.DUMMYFUNCTION("TRIM(REGEXREPLACE(REGEXREPLACE(R38, "","", "" ""), ""(EVENTOUT|TRACECLK|TRACED.|SPI._[^ ]*|SAI._[^ ]*|ETH_[^ ]*|QUADSPI_[^ ]*|FMC_[^ ]*|UART._[^ ]*|FDCAN._[^ ]*|DFSDM._[^ ]*|OTG_[^ ]*|TIM\d+_[^ ]*)( |$)"", "" ""))"),"HRTIM_EEV1 USART3_TX SDMMC1_D2 DCMI_D8 LCD_R2")</f>
        <v>HRTIM_EEV1 USART3_TX SDMMC1_D2 DCMI_D8 LCD_R2</v>
      </c>
      <c r="Q38" s="14"/>
      <c r="R38" s="17" t="s">
        <v>139</v>
      </c>
    </row>
    <row r="39">
      <c r="A39" s="5">
        <v>79.0</v>
      </c>
      <c r="B39" s="5" t="s">
        <v>140</v>
      </c>
      <c r="C39" s="15" t="s">
        <v>141</v>
      </c>
      <c r="D39" s="15">
        <f>IF(COUNTIF(ConnectorPins!$F$2:$F$999, B39) &gt; 0, MATCH(B39, ConnectorPins!$F$2:$F$999, 0), IF(COUNTIF(ConnectorPins!$I$2:$I$999, B39) &gt; 0, MATCH(B39, ConnectorPins!$I$2:$I$999, 0), ""))</f>
        <v>24</v>
      </c>
      <c r="E39" s="22" t="s">
        <v>141</v>
      </c>
      <c r="F39" s="22" t="s">
        <v>28</v>
      </c>
      <c r="G39" s="9" t="str">
        <f>IFERROR(__xludf.DUMMYFUNCTION("TRIM(REGEXREPLACE(Q39 , ""ADC(\d+_(INN\d+|INP\d+)*)|."" , ""$1 "")  )"),"")</f>
        <v/>
      </c>
      <c r="I39" s="10" t="str">
        <f>IFERROR(__xludf.DUMMYFUNCTION("TRIM(REGEXREPLACE(R39 , ""SPI(._(MOSI|MISO|SCK))|."" , ""$1 "")  )"),"3_MISO")</f>
        <v>3_MISO</v>
      </c>
      <c r="J39" s="10" t="str">
        <f>IFERROR(__xludf.DUMMYFUNCTION("TRIM(REGEXREPLACE(R39 , ""FDCAN(._[\w_]+)|."" , ""$1 "")  )"),"")</f>
        <v/>
      </c>
      <c r="K39" s="16" t="str">
        <f>IFERROR(__xludf.DUMMYFUNCTION("TRIM(REGEXREPLACE(R39 , ""ETH_([\w_]+)|."" , ""$1 "")  )"),"")</f>
        <v/>
      </c>
      <c r="L39" s="9" t="str">
        <f>IFERROR(__xludf.DUMMYFUNCTION("TRIM(REGEXREPLACE(R39 , ""TIM(._\w+)|."" , ""$1 "")  )"),"")</f>
        <v/>
      </c>
      <c r="M39" s="16" t="str">
        <f>IFERROR(__xludf.DUMMYFUNCTION("TRIM(REGEXREPLACE(R39 , ""OTG_([\w_]+)|."" , ""$1 "") )"),"")</f>
        <v/>
      </c>
      <c r="N39" s="9" t="str">
        <f>IFERROR(__xludf.DUMMYFUNCTION("TRIM(REGEXREPLACE(R39 , ""US?ART(._(TX|RX))|."" , ""$1 "")  )"),"3_RX 4_RX")</f>
        <v>3_RX 4_RX</v>
      </c>
      <c r="O39" s="9" t="str">
        <f>IFERROR(__xludf.DUMMYFUNCTION("TRIM(REGEXREPLACE(Q39 , ""DAC(\d+_OUT\d+)|."" , ""$1 "")  )"),"")</f>
        <v/>
      </c>
      <c r="P39" s="9" t="str">
        <f>IFERROR(__xludf.DUMMYFUNCTION("TRIM(REGEXREPLACE(REGEXREPLACE(R39, "","", "" ""), ""(EVENTOUT|TRACECLK|TRACED.|SPI._[^ ]*|SAI._[^ ]*|ETH_[^ ]*|QUADSPI_[^ ]*|FMC_[^ ]*|UART._[^ ]*|FDCAN._[^ ]*|DFSDM._[^ ]*|OTG_[^ ]*|TIM\d+_[^ ]*)( |$)"", "" ""))"),"HRTIM_FLT2 USART3_RX SDMMC1_D3 DCMI_D4")</f>
        <v>HRTIM_FLT2 USART3_RX SDMMC1_D3 DCMI_D4</v>
      </c>
      <c r="Q39" s="14"/>
      <c r="R39" s="17" t="s">
        <v>142</v>
      </c>
    </row>
    <row r="40">
      <c r="A40" s="5">
        <v>80.0</v>
      </c>
      <c r="B40" s="5" t="s">
        <v>143</v>
      </c>
      <c r="C40" s="15" t="s">
        <v>144</v>
      </c>
      <c r="D40" s="15">
        <f>IF(COUNTIF(ConnectorPins!$F$2:$F$999, B40) &gt; 0, MATCH(B40, ConnectorPins!$F$2:$F$999, 0), IF(COUNTIF(ConnectorPins!$I$2:$I$999, B40) &gt; 0, MATCH(B40, ConnectorPins!$I$2:$I$999, 0), ""))</f>
        <v>25</v>
      </c>
      <c r="E40" s="22" t="s">
        <v>144</v>
      </c>
      <c r="F40" s="23"/>
      <c r="G40" s="9" t="str">
        <f>IFERROR(__xludf.DUMMYFUNCTION("TRIM(REGEXREPLACE(Q40 , ""ADC(\d+_(INN\d+|INP\d+)*)|."" , ""$1 "")  )"),"")</f>
        <v/>
      </c>
      <c r="I40" s="10" t="str">
        <f>IFERROR(__xludf.DUMMYFUNCTION("TRIM(REGEXREPLACE(R40 , ""SPI(._(MOSI|MISO|SCK))|."" , ""$1 "")  )"),"3_MOSI")</f>
        <v>3_MOSI</v>
      </c>
      <c r="J40" s="10" t="str">
        <f>IFERROR(__xludf.DUMMYFUNCTION("TRIM(REGEXREPLACE(R40 , ""FDCAN(._[\w_]+)|."" , ""$1 "")  )"),"")</f>
        <v/>
      </c>
      <c r="K40" s="16" t="str">
        <f>IFERROR(__xludf.DUMMYFUNCTION("TRIM(REGEXREPLACE(R40 , ""ETH_([\w_]+)|."" , ""$1 "")  )"),"")</f>
        <v/>
      </c>
      <c r="L40" s="9" t="str">
        <f>IFERROR(__xludf.DUMMYFUNCTION("TRIM(REGEXREPLACE(R40 , ""TIM(._\w+)|."" , ""$1 "")  )"),"")</f>
        <v/>
      </c>
      <c r="M40" s="16" t="str">
        <f>IFERROR(__xludf.DUMMYFUNCTION("TRIM(REGEXREPLACE(R40 , ""OTG_([\w_]+)|."" , ""$1 "") )"),"")</f>
        <v/>
      </c>
      <c r="N40" s="9" t="str">
        <f>IFERROR(__xludf.DUMMYFUNCTION("TRIM(REGEXREPLACE(R40 , ""US?ART(._(TX|RX))|."" , ""$1 "")  )"),"5_TX")</f>
        <v>5_TX</v>
      </c>
      <c r="O40" s="9" t="str">
        <f>IFERROR(__xludf.DUMMYFUNCTION("TRIM(REGEXREPLACE(Q40 , ""DAC(\d+_OUT\d+)|."" , ""$1 "")  )"),"")</f>
        <v/>
      </c>
      <c r="P40" s="9" t="str">
        <f>IFERROR(__xludf.DUMMYFUNCTION("TRIM(REGEXREPLACE(REGEXREPLACE(R40, "","", "" ""), ""(EVENTOUT|TRACECLK|TRACED.|SPI._[^ ]*|SAI._[^ ]*|ETH_[^ ]*|QUADSPI_[^ ]*|FMC_[^ ]*|UART._[^ ]*|FDCAN._[^ ]*|DFSDM._[^ ]*|OTG_[^ ]*|TIM\d+_[^ ]*)( |$)"", "" ""))"),"HRTIM_EEV2 USART3_CK SDMMC1_CK DCMI_D9")</f>
        <v>HRTIM_EEV2 USART3_CK SDMMC1_CK DCMI_D9</v>
      </c>
      <c r="Q40" s="14"/>
      <c r="R40" s="17" t="s">
        <v>145</v>
      </c>
    </row>
    <row r="41">
      <c r="A41" s="5">
        <v>7.0</v>
      </c>
      <c r="B41" s="5" t="s">
        <v>146</v>
      </c>
      <c r="C41" s="15" t="s">
        <v>147</v>
      </c>
      <c r="D41" s="15" t="str">
        <f>IF(COUNTIF(ConnectorPins!$F$2:$F$999, B41) &gt; 0, MATCH(B41, ConnectorPins!$F$2:$F$999, 0), IF(COUNTIF(ConnectorPins!$I$2:$I$999, B41) &gt; 0, MATCH(B41, ConnectorPins!$I$2:$I$999, 0) + 35, ""))</f>
        <v/>
      </c>
      <c r="G41" s="9" t="str">
        <f>IFERROR(__xludf.DUMMYFUNCTION("TRIM(REGEXREPLACE(Q41 , ""ADC(\d+_(INN\d+|INP\d+)*)|."" , ""$1 "")  )"),"")</f>
        <v/>
      </c>
      <c r="H41" s="15" t="s">
        <v>148</v>
      </c>
      <c r="I41" s="9" t="str">
        <f>IFERROR(__xludf.DUMMYFUNCTION("TRIM(REGEXREPLACE(R41 , ""SPI(._(MOSI|MISO|SCK))|."" , ""$1 "")  )"),"")</f>
        <v/>
      </c>
      <c r="J41" s="10" t="str">
        <f>IFERROR(__xludf.DUMMYFUNCTION("TRIM(REGEXREPLACE(R41 , ""FDCAN(._[\w_]+)|."" , ""$1 "")  )"),"")</f>
        <v/>
      </c>
      <c r="K41" s="16" t="str">
        <f>IFERROR(__xludf.DUMMYFUNCTION("TRIM(REGEXREPLACE(R41 , ""ETH_([\w_]+)|."" , ""$1 "")  )"),"")</f>
        <v/>
      </c>
      <c r="L41" s="9" t="str">
        <f>IFERROR(__xludf.DUMMYFUNCTION("TRIM(REGEXREPLACE(R41 , ""TIM(._\w+)|."" , ""$1 "")  )"),"")</f>
        <v/>
      </c>
      <c r="M41" s="16" t="str">
        <f>IFERROR(__xludf.DUMMYFUNCTION("TRIM(REGEXREPLACE(R41 , ""OTG_([\w_]+)|."" , ""$1 "") )"),"")</f>
        <v/>
      </c>
      <c r="N41" s="9" t="str">
        <f>IFERROR(__xludf.DUMMYFUNCTION("TRIM(REGEXREPLACE(R41 , ""US?ART(._(TX|RX))|."" , ""$1 "")  )"),"")</f>
        <v/>
      </c>
      <c r="O41" s="9" t="str">
        <f>IFERROR(__xludf.DUMMYFUNCTION("TRIM(REGEXREPLACE(Q41 , ""DAC(\d+_OUT\d+)|."" , ""$1 "")  )"),"")</f>
        <v/>
      </c>
      <c r="P41" s="9" t="str">
        <f>IFERROR(__xludf.DUMMYFUNCTION("TRIM(REGEXREPLACE(REGEXREPLACE(R41, "","", "" ""), ""(EVENTOUT|TRACECLK|TRACED.|SPI._[^ ]*|SAI._[^ ]*|ETH_[^ ]*|QUADSPI_[^ ]*|FMC_[^ ]*|UART._[^ ]*|FDCAN._[^ ]*|DFSDM._[^ ]*|OTG_[^ ]*|TIM\d+_[^ ]*)( |$)"", "" ""))"),"")</f>
        <v/>
      </c>
      <c r="Q41" s="12" t="s">
        <v>149</v>
      </c>
      <c r="R41" s="17" t="s">
        <v>150</v>
      </c>
    </row>
    <row r="42">
      <c r="A42" s="5">
        <v>8.0</v>
      </c>
      <c r="B42" s="5" t="s">
        <v>151</v>
      </c>
      <c r="C42" s="7"/>
      <c r="D42" s="8" t="str">
        <f>IF(COUNTIF(ConnectorPins!$F$2:$F$999, B42) &gt; 0, MATCH(B42, ConnectorPins!$F$2:$F$999, 0), IF(COUNTIF(ConnectorPins!$I$2:$I$999, B42) &gt; 0, MATCH(B42, ConnectorPins!$I$2:$I$999, 0) + 35, ""))</f>
        <v/>
      </c>
      <c r="E42" s="7"/>
      <c r="F42" s="7"/>
      <c r="G42" s="9" t="str">
        <f>IFERROR(__xludf.DUMMYFUNCTION("TRIM(REGEXREPLACE(Q42 , ""ADC(\d+_(INN\d+|INP\d+)*)|."" , ""$1 "")  )"),"")</f>
        <v/>
      </c>
      <c r="I42" s="9" t="str">
        <f>IFERROR(__xludf.DUMMYFUNCTION("TRIM(REGEXREPLACE(R42 , ""SPI(._(MOSI|MISO|SCK))|."" , ""$1 "")  )"),"")</f>
        <v/>
      </c>
      <c r="J42" s="10" t="str">
        <f>IFERROR(__xludf.DUMMYFUNCTION("TRIM(REGEXREPLACE(R42 , ""FDCAN(._[\w_]+)|."" , ""$1 "")  )"),"")</f>
        <v/>
      </c>
      <c r="K42" s="16" t="str">
        <f>IFERROR(__xludf.DUMMYFUNCTION("TRIM(REGEXREPLACE(R42 , ""ETH_([\w_]+)|."" , ""$1 "")  )"),"")</f>
        <v/>
      </c>
      <c r="L42" s="9" t="str">
        <f>IFERROR(__xludf.DUMMYFUNCTION("TRIM(REGEXREPLACE(R42 , ""TIM(._\w+)|."" , ""$1 "")  )"),"")</f>
        <v/>
      </c>
      <c r="M42" s="16" t="str">
        <f>IFERROR(__xludf.DUMMYFUNCTION("TRIM(REGEXREPLACE(R42 , ""OTG_([\w_]+)|."" , ""$1 "") )"),"")</f>
        <v/>
      </c>
      <c r="N42" s="9" t="str">
        <f>IFERROR(__xludf.DUMMYFUNCTION("TRIM(REGEXREPLACE(R42 , ""US?ART(._(TX|RX))|."" , ""$1 "")  )"),"")</f>
        <v/>
      </c>
      <c r="O42" s="9" t="str">
        <f>IFERROR(__xludf.DUMMYFUNCTION("TRIM(REGEXREPLACE(Q42 , ""DAC(\d+_OUT\d+)|."" , ""$1 "")  )"),"")</f>
        <v/>
      </c>
      <c r="P42" s="9" t="str">
        <f>IFERROR(__xludf.DUMMYFUNCTION("TRIM(REGEXREPLACE(REGEXREPLACE(R42, "","", "" ""), ""(EVENTOUT|TRACECLK|TRACED.|SPI._[^ ]*|SAI._[^ ]*|ETH_[^ ]*|QUADSPI_[^ ]*|FMC_[^ ]*|UART._[^ ]*|FDCAN._[^ ]*|DFSDM._[^ ]*|OTG_[^ ]*|TIM\d+_[^ ]*)( |$)"", "" ""))"),"")</f>
        <v/>
      </c>
      <c r="Q42" s="12" t="s">
        <v>152</v>
      </c>
      <c r="R42" s="17" t="s">
        <v>150</v>
      </c>
    </row>
    <row r="43">
      <c r="A43" s="5">
        <v>9.0</v>
      </c>
      <c r="B43" s="5" t="s">
        <v>153</v>
      </c>
      <c r="C43" s="7"/>
      <c r="D43" s="8" t="str">
        <f>IF(COUNTIF(ConnectorPins!$F$2:$F$999, B43) &gt; 0, MATCH(B43, ConnectorPins!$F$2:$F$999, 0), IF(COUNTIF(ConnectorPins!$I$2:$I$999, B43) &gt; 0, MATCH(B43, ConnectorPins!$I$2:$I$999, 0) + 35, ""))</f>
        <v/>
      </c>
      <c r="E43" s="7"/>
      <c r="F43" s="7"/>
      <c r="G43" s="9" t="str">
        <f>IFERROR(__xludf.DUMMYFUNCTION("TRIM(REGEXREPLACE(Q43 , ""ADC(\d+_(INN\d+|INP\d+)*)|."" , ""$1 "")  )"),"")</f>
        <v/>
      </c>
      <c r="I43" s="9" t="str">
        <f>IFERROR(__xludf.DUMMYFUNCTION("TRIM(REGEXREPLACE(R43 , ""SPI(._(MOSI|MISO|SCK))|."" , ""$1 "")  )"),"")</f>
        <v/>
      </c>
      <c r="J43" s="10" t="str">
        <f>IFERROR(__xludf.DUMMYFUNCTION("TRIM(REGEXREPLACE(R43 , ""FDCAN(._[\w_]+)|."" , ""$1 "")  )"),"")</f>
        <v/>
      </c>
      <c r="K43" s="16" t="str">
        <f>IFERROR(__xludf.DUMMYFUNCTION("TRIM(REGEXREPLACE(R43 , ""ETH_([\w_]+)|."" , ""$1 "")  )"),"")</f>
        <v/>
      </c>
      <c r="L43" s="9" t="str">
        <f>IFERROR(__xludf.DUMMYFUNCTION("TRIM(REGEXREPLACE(R43 , ""TIM(._\w+)|."" , ""$1 "")  )"),"")</f>
        <v/>
      </c>
      <c r="M43" s="16" t="str">
        <f>IFERROR(__xludf.DUMMYFUNCTION("TRIM(REGEXREPLACE(R43 , ""OTG_([\w_]+)|."" , ""$1 "") )"),"")</f>
        <v/>
      </c>
      <c r="N43" s="9" t="str">
        <f>IFERROR(__xludf.DUMMYFUNCTION("TRIM(REGEXREPLACE(R43 , ""US?ART(._(TX|RX))|."" , ""$1 "")  )"),"")</f>
        <v/>
      </c>
      <c r="O43" s="9" t="str">
        <f>IFERROR(__xludf.DUMMYFUNCTION("TRIM(REGEXREPLACE(Q43 , ""DAC(\d+_OUT\d+)|."" , ""$1 "")  )"),"")</f>
        <v/>
      </c>
      <c r="P43" s="9" t="str">
        <f>IFERROR(__xludf.DUMMYFUNCTION("TRIM(REGEXREPLACE(REGEXREPLACE(R43, "","", "" ""), ""(EVENTOUT|TRACECLK|TRACED.|SPI._[^ ]*|SAI._[^ ]*|ETH_[^ ]*|QUADSPI_[^ ]*|FMC_[^ ]*|UART._[^ ]*|FDCAN._[^ ]*|DFSDM._[^ ]*|OTG_[^ ]*|TIM\d+_[^ ]*)( |$)"", "" ""))"),"")</f>
        <v/>
      </c>
      <c r="Q43" s="12" t="s">
        <v>154</v>
      </c>
      <c r="R43" s="17" t="s">
        <v>150</v>
      </c>
    </row>
    <row r="44">
      <c r="A44" s="5">
        <v>17.0</v>
      </c>
      <c r="B44" s="5" t="s">
        <v>155</v>
      </c>
      <c r="D44" s="15">
        <f>IF(COUNTIF(ConnectorPins!$F$2:$F$999, B44) &gt; 0, MATCH(B44, ConnectorPins!$F$2:$F$999, 0), IF(COUNTIF(ConnectorPins!$I$2:$I$999, B44) &gt; 0, MATCH(B44, ConnectorPins!$I$2:$I$999, 0) + 35, ""))</f>
        <v>28</v>
      </c>
      <c r="G44" s="9" t="str">
        <f>IFERROR(__xludf.DUMMYFUNCTION("TRIM(REGEXREPLACE(Q44 , ""ADC(\d+_(INN\d+|INP\d+)*)|."" , ""$1 "")  )"),"3_INN1 3_INP0")</f>
        <v>3_INN1 3_INP0</v>
      </c>
      <c r="I44" s="10" t="str">
        <f>IFERROR(__xludf.DUMMYFUNCTION("TRIM(REGEXREPLACE(R44 , ""SPI(._(MOSI|MISO|SCK))|."" , ""$1 "")  )"),"2_MISO")</f>
        <v>2_MISO</v>
      </c>
      <c r="J44" s="10" t="str">
        <f>IFERROR(__xludf.DUMMYFUNCTION("TRIM(REGEXREPLACE(R44 , ""FDCAN(._[\w_]+)|."" , ""$1 "")  )"),"")</f>
        <v/>
      </c>
      <c r="K44" s="16" t="str">
        <f>IFERROR(__xludf.DUMMYFUNCTION("TRIM(REGEXREPLACE(R44 , ""ETH_([\w_]+)|."" , ""$1 "")  )"),"MII_TXD2")</f>
        <v>MII_TXD2</v>
      </c>
      <c r="L44" s="9" t="str">
        <f>IFERROR(__xludf.DUMMYFUNCTION("TRIM(REGEXREPLACE(R44 , ""TIM(._\w+)|."" , ""$1 "")  )"),"")</f>
        <v/>
      </c>
      <c r="M44" s="16" t="str">
        <f>IFERROR(__xludf.DUMMYFUNCTION("TRIM(REGEXREPLACE(R44 , ""OTG_([\w_]+)|."" , ""$1 "") )"),"HS_ULPI_DIR")</f>
        <v>HS_ULPI_DIR</v>
      </c>
      <c r="N44" s="9" t="str">
        <f>IFERROR(__xludf.DUMMYFUNCTION("TRIM(REGEXREPLACE(R44 , ""US?ART(._(TX|RX))|."" , ""$1 "")  )"),"")</f>
        <v/>
      </c>
      <c r="O44" s="9" t="str">
        <f>IFERROR(__xludf.DUMMYFUNCTION("TRIM(REGEXREPLACE(Q44 , ""DAC(\d+_OUT\d+)|."" , ""$1 "")  )"),"")</f>
        <v/>
      </c>
      <c r="P44" s="9" t="str">
        <f>IFERROR(__xludf.DUMMYFUNCTION("TRIM(REGEXREPLACE(REGEXREPLACE(R44, "","", "" ""), ""(EVENTOUT|TRACECLK|TRACED.|SPI._[^ ]*|SAI._[^ ]*|ETH_[^ ]*|QUADSPI_[^ ]*|FMC_[^ ]*|UART._[^ ]*|FDCAN._[^ ]*|DFSDM._[^ ]*|OTG_[^ ]*|TIM\d+_[^ ]*)( |$)"", "" ""))"),"CDSLEEP")</f>
        <v>CDSLEEP</v>
      </c>
      <c r="Q44" s="12" t="s">
        <v>156</v>
      </c>
      <c r="R44" s="17" t="s">
        <v>157</v>
      </c>
    </row>
    <row r="45">
      <c r="A45" s="5">
        <v>18.0</v>
      </c>
      <c r="B45" s="5" t="s">
        <v>158</v>
      </c>
      <c r="D45" s="15">
        <f>IF(COUNTIF(ConnectorPins!$F$2:$F$999, B45) &gt; 0, MATCH(B45, ConnectorPins!$F$2:$F$999, 0), IF(COUNTIF(ConnectorPins!$I$2:$I$999, B45) &gt; 0, MATCH(B45, ConnectorPins!$I$2:$I$999, 0) + 35, ""))</f>
        <v>29</v>
      </c>
      <c r="G45" s="9" t="str">
        <f>IFERROR(__xludf.DUMMYFUNCTION("TRIM(REGEXREPLACE(Q45 , ""ADC(\d+_(INN\d+|INP\d+)*)|."" , ""$1 "")  )"),"3_INP1")</f>
        <v>3_INP1</v>
      </c>
      <c r="I45" s="10" t="str">
        <f>IFERROR(__xludf.DUMMYFUNCTION("TRIM(REGEXREPLACE(R45 , ""SPI(._(MOSI|MISO|SCK))|."" , ""$1 "")  )"),"2_MOSI")</f>
        <v>2_MOSI</v>
      </c>
      <c r="J45" s="10" t="str">
        <f>IFERROR(__xludf.DUMMYFUNCTION("TRIM(REGEXREPLACE(R45 , ""FDCAN(._[\w_]+)|."" , ""$1 "")  )"),"")</f>
        <v/>
      </c>
      <c r="K45" s="16" t="str">
        <f>IFERROR(__xludf.DUMMYFUNCTION("TRIM(REGEXREPLACE(R45 , ""ETH_([\w_]+)|."" , ""$1 "")  )"),"MII_TX_CLK")</f>
        <v>MII_TX_CLK</v>
      </c>
      <c r="L45" s="9" t="str">
        <f>IFERROR(__xludf.DUMMYFUNCTION("TRIM(REGEXREPLACE(R45 , ""TIM(._\w+)|."" , ""$1 "")  )"),"")</f>
        <v/>
      </c>
      <c r="M45" s="16" t="str">
        <f>IFERROR(__xludf.DUMMYFUNCTION("TRIM(REGEXREPLACE(R45 , ""OTG_([\w_]+)|."" , ""$1 "") )"),"HS_ULPI_NXT")</f>
        <v>HS_ULPI_NXT</v>
      </c>
      <c r="N45" s="9" t="str">
        <f>IFERROR(__xludf.DUMMYFUNCTION("TRIM(REGEXREPLACE(R45 , ""US?ART(._(TX|RX))|."" , ""$1 "")  )"),"")</f>
        <v/>
      </c>
      <c r="O45" s="9" t="str">
        <f>IFERROR(__xludf.DUMMYFUNCTION("TRIM(REGEXREPLACE(Q45 , ""DAC(\d+_OUT\d+)|."" , ""$1 "")  )"),"")</f>
        <v/>
      </c>
      <c r="P45" s="9" t="str">
        <f>IFERROR(__xludf.DUMMYFUNCTION("TRIM(REGEXREPLACE(REGEXREPLACE(R45, "","", "" ""), ""(EVENTOUT|TRACECLK|TRACED.|SPI._[^ ]*|SAI._[^ ]*|ETH_[^ ]*|QUADSPI_[^ ]*|FMC_[^ ]*|UART._[^ ]*|FDCAN._[^ ]*|DFSDM._[^ ]*|OTG_[^ ]*|TIM\d+_[^ ]*)( |$)"", "" ""))"),"CSLEEP")</f>
        <v>CSLEEP</v>
      </c>
      <c r="Q45" s="12" t="s">
        <v>159</v>
      </c>
      <c r="R45" s="17" t="s">
        <v>160</v>
      </c>
    </row>
    <row r="46">
      <c r="A46" s="5">
        <v>32.0</v>
      </c>
      <c r="B46" s="18" t="s">
        <v>161</v>
      </c>
      <c r="C46" s="7"/>
      <c r="D46" s="15">
        <f>IF(COUNTIF(ConnectorPins!$F$2:$F$999, B46) &gt; 0, MATCH(B46, ConnectorPins!$F$2:$F$999, 0), IF(COUNTIF(ConnectorPins!$I$2:$I$999, B46) &gt; 0, MATCH(B46, ConnectorPins!$I$2:$I$999, 0) + 35, ""))</f>
        <v>31</v>
      </c>
      <c r="E46" s="15" t="s">
        <v>162</v>
      </c>
      <c r="F46" s="15"/>
      <c r="G46" s="9" t="str">
        <f>IFERROR(__xludf.DUMMYFUNCTION("TRIM(REGEXREPLACE(Q46 , ""ADC(\d+_(INN\d+|INP\d+)*)|."" , ""$1 "")  )"),"12_INP4")</f>
        <v>12_INP4</v>
      </c>
      <c r="I46" s="9" t="str">
        <f>IFERROR(__xludf.DUMMYFUNCTION("TRIM(REGEXREPLACE(R46 , ""SPI(._(MOSI|MISO|SCK))|."" , ""$1 "")  )"),"")</f>
        <v/>
      </c>
      <c r="J46" s="10" t="str">
        <f>IFERROR(__xludf.DUMMYFUNCTION("TRIM(REGEXREPLACE(R46 , ""FDCAN(._[\w_]+)|."" , ""$1 "")  )"),"")</f>
        <v/>
      </c>
      <c r="K46" s="20" t="str">
        <f>IFERROR(__xludf.DUMMYFUNCTION("TRIM(REGEXREPLACE(R46 , ""ETH_([\w_]+)|."" , ""$1 "")  )"),"MII_RXD0 RMII_RXD0")</f>
        <v>MII_RXD0 RMII_RXD0</v>
      </c>
      <c r="L46" s="9" t="str">
        <f>IFERROR(__xludf.DUMMYFUNCTION("TRIM(REGEXREPLACE(R46 , ""TIM(._\w+)|."" , ""$1 "")  )"),"")</f>
        <v/>
      </c>
      <c r="M46" s="11" t="str">
        <f>IFERROR(__xludf.DUMMYFUNCTION("TRIM(REGEXREPLACE(R46 , ""OTG_([\w_]+)|."" , ""$1 "") )"),"")</f>
        <v/>
      </c>
      <c r="N46" s="9" t="str">
        <f>IFERROR(__xludf.DUMMYFUNCTION("TRIM(REGEXREPLACE(R46 , ""US?ART(._(TX|RX))|."" , ""$1 "")  )"),"")</f>
        <v/>
      </c>
      <c r="O46" s="9" t="str">
        <f>IFERROR(__xludf.DUMMYFUNCTION("TRIM(REGEXREPLACE(Q46 , ""DAC(\d+_OUT\d+)|."" , ""$1 "")  )"),"")</f>
        <v/>
      </c>
      <c r="P46" s="9" t="str">
        <f>IFERROR(__xludf.DUMMYFUNCTION("TRIM(REGEXREPLACE(REGEXREPLACE(R46, "","", "" ""), ""(EVENTOUT|TRACECLK|TRACED.|SPI._[^ ]*|SAI._[^ ]*|ETH_[^ ]*|QUADSPI_[^ ]*|FMC_[^ ]*|UART._[^ ]*|FDCAN._[^ ]*|DFSDM._[^ ]*|OTG_[^ ]*|TIM\d+_[^ ]*)( |$)"", "" ""))"),"I2S1_MCK SPDIFRX1_IN3")</f>
        <v>I2S1_MCK SPDIFRX1_IN3</v>
      </c>
      <c r="Q46" s="12" t="s">
        <v>163</v>
      </c>
      <c r="R46" s="17" t="s">
        <v>164</v>
      </c>
    </row>
    <row r="47">
      <c r="A47" s="5">
        <v>33.0</v>
      </c>
      <c r="B47" s="18" t="s">
        <v>165</v>
      </c>
      <c r="C47" s="7"/>
      <c r="D47" s="15">
        <f>IF(COUNTIF(ConnectorPins!$F$2:$F$999, B47) &gt; 0, MATCH(B47, ConnectorPins!$F$2:$F$999, 0), IF(COUNTIF(ConnectorPins!$I$2:$I$999, B47) &gt; 0, MATCH(B47, ConnectorPins!$I$2:$I$999, 0) + 35, ""))</f>
        <v>32</v>
      </c>
      <c r="E47" s="15" t="s">
        <v>166</v>
      </c>
      <c r="F47" s="15"/>
      <c r="G47" s="9" t="str">
        <f>IFERROR(__xludf.DUMMYFUNCTION("TRIM(REGEXREPLACE(Q47 , ""ADC(\d+_(INN\d+|INP\d+)*)|."" , ""$1 "")  )"),"12_INN4 12_INP8")</f>
        <v>12_INN4 12_INP8</v>
      </c>
      <c r="I47" s="9" t="str">
        <f>IFERROR(__xludf.DUMMYFUNCTION("TRIM(REGEXREPLACE(R47 , ""SPI(._(MOSI|MISO|SCK))|."" , ""$1 "")  )"),"")</f>
        <v/>
      </c>
      <c r="J47" s="10" t="str">
        <f>IFERROR(__xludf.DUMMYFUNCTION("TRIM(REGEXREPLACE(R47 , ""FDCAN(._[\w_]+)|."" , ""$1 "")  )"),"")</f>
        <v/>
      </c>
      <c r="K47" s="20" t="str">
        <f>IFERROR(__xludf.DUMMYFUNCTION("TRIM(REGEXREPLACE(R47 , ""ETH_([\w_]+)|."" , ""$1 "")  )"),"MII_RXD1 RMII_RXD1")</f>
        <v>MII_RXD1 RMII_RXD1</v>
      </c>
      <c r="L47" s="9" t="str">
        <f>IFERROR(__xludf.DUMMYFUNCTION("TRIM(REGEXREPLACE(R47 , ""TIM(._\w+)|."" , ""$1 "")  )"),"")</f>
        <v/>
      </c>
      <c r="M47" s="11" t="str">
        <f>IFERROR(__xludf.DUMMYFUNCTION("TRIM(REGEXREPLACE(R47 , ""OTG_([\w_]+)|."" , ""$1 "") )"),"")</f>
        <v/>
      </c>
      <c r="N47" s="9" t="str">
        <f>IFERROR(__xludf.DUMMYFUNCTION("TRIM(REGEXREPLACE(R47 , ""US?ART(._(TX|RX))|."" , ""$1 "")  )"),"")</f>
        <v/>
      </c>
      <c r="O47" s="9" t="str">
        <f>IFERROR(__xludf.DUMMYFUNCTION("TRIM(REGEXREPLACE(Q47 , ""DAC(\d+_OUT\d+)|."" , ""$1 "")  )"),"")</f>
        <v/>
      </c>
      <c r="P47" s="9" t="str">
        <f>IFERROR(__xludf.DUMMYFUNCTION("TRIM(REGEXREPLACE(REGEXREPLACE(R47, "","", "" ""), ""(EVENTOUT|TRACECLK|TRACED.|SPI._[^ ]*|SAI._[^ ]*|ETH_[^ ]*|QUADSPI_[^ ]*|FMC_[^ ]*|UART._[^ ]*|FDCAN._[^ ]*|DFSDM._[^ ]*|OTG_[^ ]*|TIM\d+_[^ ]*)( |$)"", "" ""))"),"SPDIFRX1_IN4 COMP1_OUT")</f>
        <v>SPDIFRX1_IN4 COMP1_OUT</v>
      </c>
      <c r="Q47" s="12" t="s">
        <v>167</v>
      </c>
      <c r="R47" s="17" t="s">
        <v>168</v>
      </c>
    </row>
    <row r="48">
      <c r="A48" s="5">
        <v>63.0</v>
      </c>
      <c r="B48" s="5" t="s">
        <v>169</v>
      </c>
      <c r="D48" s="15">
        <f>IF(COUNTIF(ConnectorPins!$F$2:$F$999, B48) &gt; 0, MATCH(B48, ConnectorPins!$F$2:$F$999, 0), IF(COUNTIF(ConnectorPins!$I$2:$I$999, B48) &gt; 0, MATCH(B48, ConnectorPins!$I$2:$I$999, 0), ""))</f>
        <v>19</v>
      </c>
      <c r="E48" s="15" t="s">
        <v>170</v>
      </c>
      <c r="F48" s="15" t="s">
        <v>171</v>
      </c>
      <c r="G48" s="9" t="str">
        <f>IFERROR(__xludf.DUMMYFUNCTION("TRIM(REGEXREPLACE(Q48 , ""ADC(\d+_(INN\d+|INP\d+)*)|."" , ""$1 "")  )"),"")</f>
        <v/>
      </c>
      <c r="I48" s="9" t="str">
        <f>IFERROR(__xludf.DUMMYFUNCTION("TRIM(REGEXREPLACE(R48 , ""SPI(._(MOSI|MISO|SCK))|."" , ""$1 "")  )"),"")</f>
        <v/>
      </c>
      <c r="J48" s="10" t="str">
        <f>IFERROR(__xludf.DUMMYFUNCTION("TRIM(REGEXREPLACE(R48 , ""FDCAN(._[\w_]+)|."" , ""$1 "")  )"),"")</f>
        <v/>
      </c>
      <c r="K48" s="16" t="str">
        <f>IFERROR(__xludf.DUMMYFUNCTION("TRIM(REGEXREPLACE(R48 , ""ETH_([\w_]+)|."" , ""$1 "")  )"),"")</f>
        <v/>
      </c>
      <c r="L48" s="10" t="str">
        <f>IFERROR(__xludf.DUMMYFUNCTION("TRIM(REGEXREPLACE(R48 , ""TIM(._\w+)|."" , ""$1 "")  )"),"3_CH1 8_CH1")</f>
        <v>3_CH1 8_CH1</v>
      </c>
      <c r="M48" s="11" t="str">
        <f>IFERROR(__xludf.DUMMYFUNCTION("TRIM(REGEXREPLACE(R48 , ""OTG_([\w_]+)|."" , ""$1 "") )"),"")</f>
        <v/>
      </c>
      <c r="N48" s="9" t="str">
        <f>IFERROR(__xludf.DUMMYFUNCTION("TRIM(REGEXREPLACE(R48 , ""US?ART(._(TX|RX))|."" , ""$1 "")  )"),"6_TX")</f>
        <v>6_TX</v>
      </c>
      <c r="O48" s="9" t="str">
        <f>IFERROR(__xludf.DUMMYFUNCTION("TRIM(REGEXREPLACE(Q48 , ""DAC(\d+_OUT\d+)|."" , ""$1 "")  )"),"")</f>
        <v/>
      </c>
      <c r="P48" s="9" t="str">
        <f>IFERROR(__xludf.DUMMYFUNCTION("TRIM(REGEXREPLACE(REGEXREPLACE(R48, "","", "" ""), ""(EVENTOUT|TRACECLK|TRACED.|SPI._[^ ]*|SAI._[^ ]*|ETH_[^ ]*|QUADSPI_[^ ]*|FMC_[^ ]*|UART._[^ ]*|FDCAN._[^ ]*|DFSDM._[^ ]*|OTG_[^ ]*|TIM\d+_[^ ]*)( |$)"", "" ""))"),"HRTIM_CHA1 I2S2_MCK USART6_TX SDMMC1_D0DIR SDMMC2_D6 SDMMC1_D6 DCMI_D0 LCD_HSYNC")</f>
        <v>HRTIM_CHA1 I2S2_MCK USART6_TX SDMMC1_D0DIR SDMMC2_D6 SDMMC1_D6 DCMI_D0 LCD_HSYNC</v>
      </c>
      <c r="Q48" s="12" t="s">
        <v>172</v>
      </c>
      <c r="R48" s="17" t="s">
        <v>173</v>
      </c>
    </row>
    <row r="49">
      <c r="A49" s="5">
        <v>64.0</v>
      </c>
      <c r="B49" s="5" t="s">
        <v>174</v>
      </c>
      <c r="D49" s="15">
        <f>IF(COUNTIF(ConnectorPins!$F$2:$F$999, B49) &gt; 0, MATCH(B49, ConnectorPins!$F$2:$F$999, 0), IF(COUNTIF(ConnectorPins!$I$2:$I$999, B49) &gt; 0, MATCH(B49, ConnectorPins!$I$2:$I$999, 0), ""))</f>
        <v>20</v>
      </c>
      <c r="E49" s="15" t="s">
        <v>175</v>
      </c>
      <c r="F49" s="15" t="s">
        <v>176</v>
      </c>
      <c r="G49" s="9" t="str">
        <f>IFERROR(__xludf.DUMMYFUNCTION("TRIM(REGEXREPLACE(Q49 , ""ADC(\d+_(INN\d+|INP\d+)*)|."" , ""$1 "")  )"),"")</f>
        <v/>
      </c>
      <c r="I49" s="9" t="str">
        <f>IFERROR(__xludf.DUMMYFUNCTION("TRIM(REGEXREPLACE(R49 , ""SPI(._(MOSI|MISO|SCK))|."" , ""$1 "")  )"),"")</f>
        <v/>
      </c>
      <c r="J49" s="10" t="str">
        <f>IFERROR(__xludf.DUMMYFUNCTION("TRIM(REGEXREPLACE(R49 , ""FDCAN(._[\w_]+)|."" , ""$1 "")  )"),"")</f>
        <v/>
      </c>
      <c r="K49" s="16" t="str">
        <f>IFERROR(__xludf.DUMMYFUNCTION("TRIM(REGEXREPLACE(R49 , ""ETH_([\w_]+)|."" , ""$1 "")  )"),"")</f>
        <v/>
      </c>
      <c r="L49" s="10" t="str">
        <f>IFERROR(__xludf.DUMMYFUNCTION("TRIM(REGEXREPLACE(R49 , ""TIM(._\w+)|."" , ""$1 "")  )"),"3_CH2 8_CH2")</f>
        <v>3_CH2 8_CH2</v>
      </c>
      <c r="M49" s="11" t="str">
        <f>IFERROR(__xludf.DUMMYFUNCTION("TRIM(REGEXREPLACE(R49 , ""OTG_([\w_]+)|."" , ""$1 "") )"),"")</f>
        <v/>
      </c>
      <c r="N49" s="9" t="str">
        <f>IFERROR(__xludf.DUMMYFUNCTION("TRIM(REGEXREPLACE(R49 , ""US?ART(._(TX|RX))|."" , ""$1 "")  )"),"6_RX")</f>
        <v>6_RX</v>
      </c>
      <c r="O49" s="9" t="str">
        <f>IFERROR(__xludf.DUMMYFUNCTION("TRIM(REGEXREPLACE(Q49 , ""DAC(\d+_OUT\d+)|."" , ""$1 "")  )"),"")</f>
        <v/>
      </c>
      <c r="P49" s="9" t="str">
        <f>IFERROR(__xludf.DUMMYFUNCTION("TRIM(REGEXREPLACE(REGEXREPLACE(R49, "","", "" ""), ""(EVENTOUT|TRACECLK|TRACED.|SPI._[^ ]*|SAI._[^ ]*|ETH_[^ ]*|QUADSPI_[^ ]*|FMC_[^ ]*|UART._[^ ]*|FDCAN._[^ ]*|DFSDM._[^ ]*|OTG_[^ ]*|TIM\d+_[^ ]*)( |$)"", "" ""))"),"TRGIO HRTIM_CHA2 I2S3_MCK USART6_RX SDMMC1_D123DIR SDMMC2_D7 SWPMI_TX SDMMC1_D7 DCMI_D1 LCD_G6")</f>
        <v>TRGIO HRTIM_CHA2 I2S3_MCK USART6_RX SDMMC1_D123DIR SDMMC2_D7 SWPMI_TX SDMMC1_D7 DCMI_D1 LCD_G6</v>
      </c>
      <c r="Q49" s="14"/>
      <c r="R49" s="17" t="s">
        <v>177</v>
      </c>
    </row>
    <row r="50">
      <c r="A50" s="5">
        <v>65.0</v>
      </c>
      <c r="B50" s="5" t="s">
        <v>178</v>
      </c>
      <c r="D50" s="15">
        <f>IF(COUNTIF(ConnectorPins!$F$2:$F$999, B50) &gt; 0, MATCH(B50, ConnectorPins!$F$2:$F$999, 0), IF(COUNTIF(ConnectorPins!$I$2:$I$999, B50) &gt; 0, MATCH(B50, ConnectorPins!$I$2:$I$999, 0), ""))</f>
        <v>21</v>
      </c>
      <c r="F50" s="15" t="s">
        <v>179</v>
      </c>
      <c r="G50" s="9" t="str">
        <f>IFERROR(__xludf.DUMMYFUNCTION("TRIM(REGEXREPLACE(Q50 , ""ADC(\d+_(INN\d+|INP\d+)*)|."" , ""$1 "")  )"),"")</f>
        <v/>
      </c>
      <c r="I50" s="9" t="str">
        <f>IFERROR(__xludf.DUMMYFUNCTION("TRIM(REGEXREPLACE(R50 , ""SPI(._(MOSI|MISO|SCK))|."" , ""$1 "")  )"),"")</f>
        <v/>
      </c>
      <c r="J50" s="10" t="str">
        <f>IFERROR(__xludf.DUMMYFUNCTION("TRIM(REGEXREPLACE(R50 , ""FDCAN(._[\w_]+)|."" , ""$1 "")  )"),"")</f>
        <v/>
      </c>
      <c r="K50" s="16" t="str">
        <f>IFERROR(__xludf.DUMMYFUNCTION("TRIM(REGEXREPLACE(R50 , ""ETH_([\w_]+)|."" , ""$1 "")  )"),"")</f>
        <v/>
      </c>
      <c r="L50" s="10" t="str">
        <f>IFERROR(__xludf.DUMMYFUNCTION("TRIM(REGEXREPLACE(R50 , ""TIM(._\w+)|."" , ""$1 "")  )"),"3_CH3 8_CH3")</f>
        <v>3_CH3 8_CH3</v>
      </c>
      <c r="M50" s="11" t="str">
        <f>IFERROR(__xludf.DUMMYFUNCTION("TRIM(REGEXREPLACE(R50 , ""OTG_([\w_]+)|."" , ""$1 "") )"),"")</f>
        <v/>
      </c>
      <c r="N50" s="9" t="str">
        <f>IFERROR(__xludf.DUMMYFUNCTION("TRIM(REGEXREPLACE(R50 , ""US?ART(._(TX|RX))|."" , ""$1 "")  )"),"")</f>
        <v/>
      </c>
      <c r="O50" s="9" t="str">
        <f>IFERROR(__xludf.DUMMYFUNCTION("TRIM(REGEXREPLACE(Q50 , ""DAC(\d+_OUT\d+)|."" , ""$1 "")  )"),"")</f>
        <v/>
      </c>
      <c r="P50" s="9" t="str">
        <f>IFERROR(__xludf.DUMMYFUNCTION("TRIM(REGEXREPLACE(REGEXREPLACE(R50, "","", "" ""), ""(EVENTOUT|TRACECLK|TRACED.|SPI._[^ ]*|SAI._[^ ]*|ETH_[^ ]*|QUADSPI_[^ ]*|FMC_[^ ]*|UART._[^ ]*|FDCAN._[^ ]*|DFSDM._[^ ]*|OTG_[^ ]*|TIM\d+_[^ ]*)( |$)"", "" ""))"),"HRTIM_CHB1 USART6_CK SWPMI_RX SDMMC1_D0 DCMI_D2")</f>
        <v>HRTIM_CHB1 USART6_CK SWPMI_RX SDMMC1_D0 DCMI_D2</v>
      </c>
      <c r="Q50" s="14"/>
      <c r="R50" s="17" t="s">
        <v>180</v>
      </c>
    </row>
    <row r="51">
      <c r="A51" s="5">
        <v>66.0</v>
      </c>
      <c r="B51" s="5" t="s">
        <v>181</v>
      </c>
      <c r="D51" s="15">
        <f>IF(COUNTIF(ConnectorPins!$F$2:$F$999, B51) &gt; 0, MATCH(B51, ConnectorPins!$F$2:$F$999, 0), IF(COUNTIF(ConnectorPins!$I$2:$I$999, B51) &gt; 0, MATCH(B51, ConnectorPins!$I$2:$I$999, 0), ""))</f>
        <v>22</v>
      </c>
      <c r="F51" s="15" t="s">
        <v>182</v>
      </c>
      <c r="G51" s="9" t="str">
        <f>IFERROR(__xludf.DUMMYFUNCTION("TRIM(REGEXREPLACE(Q51 , ""ADC(\d+_(INN\d+|INP\d+)*)|."" , ""$1 "")  )"),"")</f>
        <v/>
      </c>
      <c r="I51" s="9" t="str">
        <f>IFERROR(__xludf.DUMMYFUNCTION("TRIM(REGEXREPLACE(R51 , ""SPI(._(MOSI|MISO|SCK))|."" , ""$1 "")  )"),"")</f>
        <v/>
      </c>
      <c r="J51" s="10" t="str">
        <f>IFERROR(__xludf.DUMMYFUNCTION("TRIM(REGEXREPLACE(R51 , ""FDCAN(._[\w_]+)|."" , ""$1 "")  )"),"")</f>
        <v/>
      </c>
      <c r="K51" s="16" t="str">
        <f>IFERROR(__xludf.DUMMYFUNCTION("TRIM(REGEXREPLACE(R51 , ""ETH_([\w_]+)|."" , ""$1 "")  )"),"")</f>
        <v/>
      </c>
      <c r="L51" s="10" t="str">
        <f>IFERROR(__xludf.DUMMYFUNCTION("TRIM(REGEXREPLACE(R51 , ""TIM(._\w+)|."" , ""$1 "")  )"),"3_CH4 8_CH4")</f>
        <v>3_CH4 8_CH4</v>
      </c>
      <c r="M51" s="11" t="str">
        <f>IFERROR(__xludf.DUMMYFUNCTION("TRIM(REGEXREPLACE(R51 , ""OTG_([\w_]+)|."" , ""$1 "") )"),"")</f>
        <v/>
      </c>
      <c r="N51" s="9" t="str">
        <f>IFERROR(__xludf.DUMMYFUNCTION("TRIM(REGEXREPLACE(R51 , ""US?ART(._(TX|RX))|."" , ""$1 "")  )"),"")</f>
        <v/>
      </c>
      <c r="O51" s="9" t="str">
        <f>IFERROR(__xludf.DUMMYFUNCTION("TRIM(REGEXREPLACE(Q51 , ""DAC(\d+_OUT\d+)|."" , ""$1 "")  )"),"")</f>
        <v/>
      </c>
      <c r="P51" s="9" t="str">
        <f>IFERROR(__xludf.DUMMYFUNCTION("TRIM(REGEXREPLACE(REGEXREPLACE(R51, "","", "" ""), ""(EVENTOUT|TRACECLK|TRACED.|SPI._[^ ]*|SAI._[^ ]*|ETH_[^ ]*|QUADSPI_[^ ]*|FMC_[^ ]*|UART._[^ ]*|FDCAN._[^ ]*|DFSDM._[^ ]*|OTG_[^ ]*|TIM\d+_[^ ]*)( |$)"", "" ""))"),"MCO2 I2C3_SDA I2S_CKIN LCD_G3 SWPMI_SUSPEND SDMMC1_D1 DCMI_D3 LCD_B2")</f>
        <v>MCO2 I2C3_SDA I2S_CKIN LCD_G3 SWPMI_SUSPEND SDMMC1_D1 DCMI_D3 LCD_B2</v>
      </c>
      <c r="Q51" s="14"/>
      <c r="R51" s="17" t="s">
        <v>183</v>
      </c>
    </row>
    <row r="52">
      <c r="A52" s="5">
        <v>81.0</v>
      </c>
      <c r="B52" s="5" t="s">
        <v>184</v>
      </c>
      <c r="D52" s="15">
        <f>IF(COUNTIF(ConnectorPins!$F$2:$F$999, B52) &gt; 0, MATCH(B52, ConnectorPins!$F$2:$F$999, 0), IF(COUNTIF(ConnectorPins!$I$2:$I$999, B52) &gt; 0, MATCH(B52, ConnectorPins!$I$2:$I$999, 0), ""))</f>
        <v>4</v>
      </c>
      <c r="E52" s="15" t="s">
        <v>28</v>
      </c>
      <c r="G52" s="9" t="str">
        <f>IFERROR(__xludf.DUMMYFUNCTION("TRIM(REGEXREPLACE(Q52 , ""ADC(\d+_(INN\d+|INP\d+)*)|."" , ""$1 "")  )"),"")</f>
        <v/>
      </c>
      <c r="I52" s="9" t="str">
        <f>IFERROR(__xludf.DUMMYFUNCTION("TRIM(REGEXREPLACE(R52 , ""SPI(._(MOSI|MISO|SCK))|."" , ""$1 "")  )"),"")</f>
        <v/>
      </c>
      <c r="J52" s="10" t="str">
        <f>IFERROR(__xludf.DUMMYFUNCTION("TRIM(REGEXREPLACE(R52 , ""FDCAN(._[\w_]+)|."" , ""$1 "")  )"),"1_RX")</f>
        <v>1_RX</v>
      </c>
      <c r="K52" s="16" t="str">
        <f>IFERROR(__xludf.DUMMYFUNCTION("TRIM(REGEXREPLACE(R52 , ""ETH_([\w_]+)|."" , ""$1 "")  )"),"")</f>
        <v/>
      </c>
      <c r="L52" s="9" t="str">
        <f>IFERROR(__xludf.DUMMYFUNCTION("TRIM(REGEXREPLACE(R52 , ""TIM(._\w+)|."" , ""$1 "")  )"),"")</f>
        <v/>
      </c>
      <c r="M52" s="11" t="str">
        <f>IFERROR(__xludf.DUMMYFUNCTION("TRIM(REGEXREPLACE(R52 , ""OTG_([\w_]+)|."" , ""$1 "") )"),"")</f>
        <v/>
      </c>
      <c r="N52" s="10" t="str">
        <f>IFERROR(__xludf.DUMMYFUNCTION("TRIM(REGEXREPLACE(R52 , ""US?ART(._(TX|RX))|."" , ""$1 "")  )"),"4_RX")</f>
        <v>4_RX</v>
      </c>
      <c r="O52" s="9" t="str">
        <f>IFERROR(__xludf.DUMMYFUNCTION("TRIM(REGEXREPLACE(Q52 , ""DAC(\d+_OUT\d+)|."" , ""$1 "")  )"),"")</f>
        <v/>
      </c>
      <c r="P52" s="9" t="str">
        <f>IFERROR(__xludf.DUMMYFUNCTION("TRIM(REGEXREPLACE(REGEXREPLACE(R52, "","", "" ""), ""(EVENTOUT|TRACECLK|TRACED.|SPI._[^ ]*|SAI._[^ ]*|ETH_[^ ]*|QUADSPI_[^ ]*|FMC_[^ ]*|UART._[^ ]*|FDCAN._[^ ]*|DFSDM._[^ ]*|OTG_[^ ]*|TIM\d+_[^ ]*)( |$)"", "" ""))"),"")</f>
        <v/>
      </c>
      <c r="Q52" s="14"/>
      <c r="R52" s="17" t="s">
        <v>185</v>
      </c>
    </row>
    <row r="53">
      <c r="A53" s="5">
        <v>82.0</v>
      </c>
      <c r="B53" s="5" t="s">
        <v>186</v>
      </c>
      <c r="D53" s="15">
        <f>IF(COUNTIF(ConnectorPins!$F$2:$F$999, B53) &gt; 0, MATCH(B53, ConnectorPins!$F$2:$F$999, 0), IF(COUNTIF(ConnectorPins!$I$2:$I$999, B53) &gt; 0, MATCH(B53, ConnectorPins!$I$2:$I$999, 0), ""))</f>
        <v>5</v>
      </c>
      <c r="E53" s="15" t="s">
        <v>23</v>
      </c>
      <c r="G53" s="9" t="str">
        <f>IFERROR(__xludf.DUMMYFUNCTION("TRIM(REGEXREPLACE(Q53 , ""ADC(\d+_(INN\d+|INP\d+)*)|."" , ""$1 "")  )"),"")</f>
        <v/>
      </c>
      <c r="I53" s="9" t="str">
        <f>IFERROR(__xludf.DUMMYFUNCTION("TRIM(REGEXREPLACE(R53 , ""SPI(._(MOSI|MISO|SCK))|."" , ""$1 "")  )"),"")</f>
        <v/>
      </c>
      <c r="J53" s="10" t="str">
        <f>IFERROR(__xludf.DUMMYFUNCTION("TRIM(REGEXREPLACE(R53 , ""FDCAN(._[\w_]+)|."" , ""$1 "")  )"),"1_TX")</f>
        <v>1_TX</v>
      </c>
      <c r="K53" s="16" t="str">
        <f>IFERROR(__xludf.DUMMYFUNCTION("TRIM(REGEXREPLACE(R53 , ""ETH_([\w_]+)|."" , ""$1 "")  )"),"")</f>
        <v/>
      </c>
      <c r="L53" s="9" t="str">
        <f>IFERROR(__xludf.DUMMYFUNCTION("TRIM(REGEXREPLACE(R53 , ""TIM(._\w+)|."" , ""$1 "")  )"),"")</f>
        <v/>
      </c>
      <c r="M53" s="11" t="str">
        <f>IFERROR(__xludf.DUMMYFUNCTION("TRIM(REGEXREPLACE(R53 , ""OTG_([\w_]+)|."" , ""$1 "") )"),"")</f>
        <v/>
      </c>
      <c r="N53" s="10" t="str">
        <f>IFERROR(__xludf.DUMMYFUNCTION("TRIM(REGEXREPLACE(R53 , ""US?ART(._(TX|RX))|."" , ""$1 "")  )"),"4_TX")</f>
        <v>4_TX</v>
      </c>
      <c r="O53" s="9" t="str">
        <f>IFERROR(__xludf.DUMMYFUNCTION("TRIM(REGEXREPLACE(Q53 , ""DAC(\d+_OUT\d+)|."" , ""$1 "")  )"),"")</f>
        <v/>
      </c>
      <c r="P53" s="9" t="str">
        <f>IFERROR(__xludf.DUMMYFUNCTION("TRIM(REGEXREPLACE(REGEXREPLACE(R53, "","", "" ""), ""(EVENTOUT|TRACECLK|TRACED.|SPI._[^ ]*|SAI._[^ ]*|ETH_[^ ]*|QUADSPI_[^ ]*|FMC_[^ ]*|UART._[^ ]*|FDCAN._[^ ]*|DFSDM._[^ ]*|OTG_[^ ]*|TIM\d+_[^ ]*)( |$)"", "" ""))"),"")</f>
        <v/>
      </c>
      <c r="Q53" s="14"/>
      <c r="R53" s="17" t="s">
        <v>187</v>
      </c>
    </row>
    <row r="54">
      <c r="A54" s="5">
        <v>57.0</v>
      </c>
      <c r="B54" s="5" t="s">
        <v>188</v>
      </c>
      <c r="D54" s="15" t="str">
        <f>IF(COUNTIF(ConnectorPins!$F$2:$F$999, B54) &gt; 0, MATCH(B54, ConnectorPins!$F$2:$F$999, 0), IF(COUNTIF(ConnectorPins!$I$2:$I$999, B54) &gt; 0, MATCH(B54, ConnectorPins!$I$2:$I$999, 0), ""))</f>
        <v/>
      </c>
      <c r="G54" s="9" t="str">
        <f>IFERROR(__xludf.DUMMYFUNCTION("TRIM(REGEXREPLACE(Q54 , ""ADC(\d+_(INN\d+|INP\d+)*)|."" , ""$1 "")  )"),"")</f>
        <v/>
      </c>
      <c r="I54" s="9" t="str">
        <f>IFERROR(__xludf.DUMMYFUNCTION("TRIM(REGEXREPLACE(R54 , ""SPI(._(MOSI|MISO|SCK))|."" , ""$1 "")  )"),"")</f>
        <v/>
      </c>
      <c r="J54" s="10" t="str">
        <f>IFERROR(__xludf.DUMMYFUNCTION("TRIM(REGEXREPLACE(R54 , ""FDCAN(._[\w_]+)|."" , ""$1 "")  )"),"")</f>
        <v/>
      </c>
      <c r="K54" s="16" t="str">
        <f>IFERROR(__xludf.DUMMYFUNCTION("TRIM(REGEXREPLACE(R54 , ""ETH_([\w_]+)|."" , ""$1 "")  )"),"")</f>
        <v/>
      </c>
      <c r="L54" s="9" t="str">
        <f>IFERROR(__xludf.DUMMYFUNCTION("TRIM(REGEXREPLACE(R54 , ""TIM(._\w+)|."" , ""$1 "")  )"),"")</f>
        <v/>
      </c>
      <c r="M54" s="11" t="str">
        <f>IFERROR(__xludf.DUMMYFUNCTION("TRIM(REGEXREPLACE(R54 , ""OTG_([\w_]+)|."" , ""$1 "") )"),"")</f>
        <v/>
      </c>
      <c r="N54" s="9" t="str">
        <f>IFERROR(__xludf.DUMMYFUNCTION("TRIM(REGEXREPLACE(R54 , ""US?ART(._(TX|RX))|."" , ""$1 "")  )"),"")</f>
        <v/>
      </c>
      <c r="O54" s="9" t="str">
        <f>IFERROR(__xludf.DUMMYFUNCTION("TRIM(REGEXREPLACE(Q54 , ""DAC(\d+_OUT\d+)|."" , ""$1 "")  )"),"")</f>
        <v/>
      </c>
      <c r="P54" s="9" t="str">
        <f>IFERROR(__xludf.DUMMYFUNCTION("TRIM(REGEXREPLACE(REGEXREPLACE(R54, "","", "" ""), ""(EVENTOUT|TRACECLK|TRACED.|SPI._[^ ]*|SAI._[^ ]*|ETH_[^ ]*|QUADSPI_[^ ]*|FMC_[^ ]*|UART._[^ ]*|FDCAN._[^ ]*|DFSDM._[^ ]*|OTG_[^ ]*|TIM\d+_[^ ]*)( |$)"", "" ""))"),"USART3_CK LCD_B3")</f>
        <v>USART3_CK LCD_B3</v>
      </c>
      <c r="Q54" s="14"/>
      <c r="R54" s="17" t="s">
        <v>189</v>
      </c>
    </row>
    <row r="55">
      <c r="A55" s="5">
        <v>58.0</v>
      </c>
      <c r="B55" s="5" t="s">
        <v>190</v>
      </c>
      <c r="D55" s="15" t="str">
        <f>IF(COUNTIF(ConnectorPins!$F$2:$F$999, B55) &gt; 0, MATCH(B55, ConnectorPins!$F$2:$F$999, 0), IF(COUNTIF(ConnectorPins!$I$2:$I$999, B55) &gt; 0, MATCH(B55, ConnectorPins!$I$2:$I$999, 0), ""))</f>
        <v/>
      </c>
      <c r="G55" s="9" t="str">
        <f>IFERROR(__xludf.DUMMYFUNCTION("TRIM(REGEXREPLACE(Q55 , ""ADC(\d+_(INN\d+|INP\d+)*)|."" , ""$1 "")  )"),"")</f>
        <v/>
      </c>
      <c r="I55" s="9" t="str">
        <f>IFERROR(__xludf.DUMMYFUNCTION("TRIM(REGEXREPLACE(R55 , ""SPI(._(MOSI|MISO|SCK))|."" , ""$1 "")  )"),"")</f>
        <v/>
      </c>
      <c r="J55" s="10" t="str">
        <f>IFERROR(__xludf.DUMMYFUNCTION("TRIM(REGEXREPLACE(R55 , ""FDCAN(._[\w_]+)|."" , ""$1 "")  )"),"")</f>
        <v/>
      </c>
      <c r="K55" s="16" t="str">
        <f>IFERROR(__xludf.DUMMYFUNCTION("TRIM(REGEXREPLACE(R55 , ""ETH_([\w_]+)|."" , ""$1 "")  )"),"")</f>
        <v/>
      </c>
      <c r="L55" s="9" t="str">
        <f>IFERROR(__xludf.DUMMYFUNCTION("TRIM(REGEXREPLACE(R55 , ""TIM(._\w+)|."" , ""$1 "")  )"),"2_IN2")</f>
        <v>2_IN2</v>
      </c>
      <c r="M55" s="11" t="str">
        <f>IFERROR(__xludf.DUMMYFUNCTION("TRIM(REGEXREPLACE(R55 , ""OTG_([\w_]+)|."" , ""$1 "") )"),"")</f>
        <v/>
      </c>
      <c r="N55" s="9" t="str">
        <f>IFERROR(__xludf.DUMMYFUNCTION("TRIM(REGEXREPLACE(R55 , ""US?ART(._(TX|RX))|."" , ""$1 "")  )"),"")</f>
        <v/>
      </c>
      <c r="O55" s="9" t="str">
        <f>IFERROR(__xludf.DUMMYFUNCTION("TRIM(REGEXREPLACE(Q55 , ""DAC(\d+_OUT\d+)|."" , ""$1 "")  )"),"")</f>
        <v/>
      </c>
      <c r="P55" s="9" t="str">
        <f>IFERROR(__xludf.DUMMYFUNCTION("TRIM(REGEXREPLACE(REGEXREPLACE(R55, "","", "" ""), ""(EVENTOUT|TRACECLK|TRACED.|SPI._[^ ]*|SAI._[^ ]*|ETH_[^ ]*|QUADSPI_[^ ]*|FMC_[^ ]*|UART._[^ ]*|FDCAN._[^ ]*|DFSDM._[^ ]*|OTG_[^ ]*|TIM\d+_[^ ]*)( |$)"", "" ""))"),"LP I2C4_SMBA USART3_CTS/USART3_NSS")</f>
        <v>LP I2C4_SMBA USART3_CTS/USART3_NSS</v>
      </c>
      <c r="Q55" s="14"/>
      <c r="R55" s="17" t="s">
        <v>191</v>
      </c>
    </row>
    <row r="56">
      <c r="A56" s="5">
        <v>59.0</v>
      </c>
      <c r="B56" s="5" t="s">
        <v>192</v>
      </c>
      <c r="D56" s="15">
        <f>IF(COUNTIF(ConnectorPins!$F$2:$F$999, B56) &gt; 0, MATCH(B56, ConnectorPins!$F$2:$F$999, 0), IF(COUNTIF(ConnectorPins!$I$2:$I$999, B56) &gt; 0, MATCH(B56, ConnectorPins!$I$2:$I$999, 0), ""))</f>
        <v>6</v>
      </c>
      <c r="G56" s="9" t="str">
        <f>IFERROR(__xludf.DUMMYFUNCTION("TRIM(REGEXREPLACE(Q56 , ""ADC(\d+_(INN\d+|INP\d+)*)|."" , ""$1 "")  )"),"")</f>
        <v/>
      </c>
      <c r="I56" s="9" t="str">
        <f>IFERROR(__xludf.DUMMYFUNCTION("TRIM(REGEXREPLACE(R56 , ""SPI(._(MOSI|MISO|SCK))|."" , ""$1 "")  )"),"")</f>
        <v/>
      </c>
      <c r="J56" s="10" t="str">
        <f>IFERROR(__xludf.DUMMYFUNCTION("TRIM(REGEXREPLACE(R56 , ""FDCAN(._[\w_]+)|."" , ""$1 "")  )"),"")</f>
        <v/>
      </c>
      <c r="K56" s="16" t="str">
        <f>IFERROR(__xludf.DUMMYFUNCTION("TRIM(REGEXREPLACE(R56 , ""ETH_([\w_]+)|."" , ""$1 "")  )"),"")</f>
        <v/>
      </c>
      <c r="L56" s="9" t="str">
        <f>IFERROR(__xludf.DUMMYFUNCTION("TRIM(REGEXREPLACE(R56 , ""TIM(._\w+)|."" , ""$1 "")  )"),"1_IN1 4_CH1 2_IN1")</f>
        <v>1_IN1 4_CH1 2_IN1</v>
      </c>
      <c r="M56" s="11" t="str">
        <f>IFERROR(__xludf.DUMMYFUNCTION("TRIM(REGEXREPLACE(R56 , ""OTG_([\w_]+)|."" , ""$1 "") )"),"")</f>
        <v/>
      </c>
      <c r="N56" s="9" t="str">
        <f>IFERROR(__xludf.DUMMYFUNCTION("TRIM(REGEXREPLACE(R56 , ""US?ART(._(TX|RX))|."" , ""$1 "")  )"),"")</f>
        <v/>
      </c>
      <c r="O56" s="9" t="str">
        <f>IFERROR(__xludf.DUMMYFUNCTION("TRIM(REGEXREPLACE(Q56 , ""DAC(\d+_OUT\d+)|."" , ""$1 "")  )"),"")</f>
        <v/>
      </c>
      <c r="P56" s="9" t="str">
        <f>IFERROR(__xludf.DUMMYFUNCTION("TRIM(REGEXREPLACE(REGEXREPLACE(R56, "","", "" ""), ""(EVENTOUT|TRACECLK|TRACED.|SPI._[^ ]*|SAI._[^ ]*|ETH_[^ ]*|QUADSPI_[^ ]*|FMC_[^ ]*|UART._[^ ]*|FDCAN._[^ ]*|DFSDM._[^ ]*|OTG_[^ ]*|TIM\d+_[^ ]*)( |$)"", "" ""))"),"LP LP I2C4_SCL USART3_RTS/USART3_DE")</f>
        <v>LP LP I2C4_SCL USART3_RTS/USART3_DE</v>
      </c>
      <c r="Q56" s="14"/>
      <c r="R56" s="17" t="s">
        <v>193</v>
      </c>
    </row>
    <row r="57">
      <c r="A57" s="5">
        <v>60.0</v>
      </c>
      <c r="B57" s="5" t="s">
        <v>194</v>
      </c>
      <c r="D57" s="15">
        <f>IF(COUNTIF(ConnectorPins!$F$2:$F$999, B57) &gt; 0, MATCH(B57, ConnectorPins!$F$2:$F$999, 0), IF(COUNTIF(ConnectorPins!$I$2:$I$999, B57) &gt; 0, MATCH(B57, ConnectorPins!$I$2:$I$999, 0), ""))</f>
        <v>7</v>
      </c>
      <c r="G57" s="9" t="str">
        <f>IFERROR(__xludf.DUMMYFUNCTION("TRIM(REGEXREPLACE(Q57 , ""ADC(\d+_(INN\d+|INP\d+)*)|."" , ""$1 "")  )"),"")</f>
        <v/>
      </c>
      <c r="I57" s="9" t="str">
        <f>IFERROR(__xludf.DUMMYFUNCTION("TRIM(REGEXREPLACE(R57 , ""SPI(._(MOSI|MISO|SCK))|."" , ""$1 "")  )"),"")</f>
        <v/>
      </c>
      <c r="J57" s="10" t="str">
        <f>IFERROR(__xludf.DUMMYFUNCTION("TRIM(REGEXREPLACE(R57 , ""FDCAN(._[\w_]+)|."" , ""$1 "")  )"),"")</f>
        <v/>
      </c>
      <c r="K57" s="16" t="str">
        <f>IFERROR(__xludf.DUMMYFUNCTION("TRIM(REGEXREPLACE(R57 , ""ETH_([\w_]+)|."" , ""$1 "")  )"),"")</f>
        <v/>
      </c>
      <c r="L57" s="9" t="str">
        <f>IFERROR(__xludf.DUMMYFUNCTION("TRIM(REGEXREPLACE(R57 , ""TIM(._\w+)|."" , ""$1 "")  )"),"1_OUT 4_CH2")</f>
        <v>1_OUT 4_CH2</v>
      </c>
      <c r="M57" s="11" t="str">
        <f>IFERROR(__xludf.DUMMYFUNCTION("TRIM(REGEXREPLACE(R57 , ""OTG_([\w_]+)|."" , ""$1 "") )"),"")</f>
        <v/>
      </c>
      <c r="N57" s="9" t="str">
        <f>IFERROR(__xludf.DUMMYFUNCTION("TRIM(REGEXREPLACE(R57 , ""US?ART(._(TX|RX))|."" , ""$1 "")  )"),"")</f>
        <v/>
      </c>
      <c r="O57" s="9" t="str">
        <f>IFERROR(__xludf.DUMMYFUNCTION("TRIM(REGEXREPLACE(Q57 , ""DAC(\d+_OUT\d+)|."" , ""$1 "")  )"),"")</f>
        <v/>
      </c>
      <c r="P57" s="9" t="str">
        <f>IFERROR(__xludf.DUMMYFUNCTION("TRIM(REGEXREPLACE(REGEXREPLACE(R57, "","", "" ""), ""(EVENTOUT|TRACECLK|TRACED.|SPI._[^ ]*|SAI._[^ ]*|ETH_[^ ]*|QUADSPI_[^ ]*|FMC_[^ ]*|UART._[^ ]*|FDCAN._[^ ]*|DFSDM._[^ ]*|OTG_[^ ]*|TIM\d+_[^ ]*)( |$)"", "" ""))"),"LP I2C4_SDA")</f>
        <v>LP I2C4_SDA</v>
      </c>
      <c r="Q57" s="14"/>
      <c r="R57" s="17" t="s">
        <v>195</v>
      </c>
    </row>
    <row r="58">
      <c r="A58" s="5">
        <v>61.0</v>
      </c>
      <c r="B58" s="5" t="s">
        <v>196</v>
      </c>
      <c r="D58" s="15">
        <f>IF(COUNTIF(ConnectorPins!$F$2:$F$999, B58) &gt; 0, MATCH(B58, ConnectorPins!$F$2:$F$999, 0), IF(COUNTIF(ConnectorPins!$I$2:$I$999, B58) &gt; 0, MATCH(B58, ConnectorPins!$I$2:$I$999, 0), ""))</f>
        <v>8</v>
      </c>
      <c r="G58" s="9" t="str">
        <f>IFERROR(__xludf.DUMMYFUNCTION("TRIM(REGEXREPLACE(Q58 , ""ADC(\d+_(INN\d+|INP\d+)*)|."" , ""$1 "")  )"),"")</f>
        <v/>
      </c>
      <c r="I58" s="9" t="str">
        <f>IFERROR(__xludf.DUMMYFUNCTION("TRIM(REGEXREPLACE(R58 , ""SPI(._(MOSI|MISO|SCK))|."" , ""$1 "")  )"),"")</f>
        <v/>
      </c>
      <c r="J58" s="10" t="str">
        <f>IFERROR(__xludf.DUMMYFUNCTION("TRIM(REGEXREPLACE(R58 , ""FDCAN(._[\w_]+)|."" , ""$1 "")  )"),"")</f>
        <v/>
      </c>
      <c r="K58" s="16" t="str">
        <f>IFERROR(__xludf.DUMMYFUNCTION("TRIM(REGEXREPLACE(R58 , ""ETH_([\w_]+)|."" , ""$1 "")  )"),"")</f>
        <v/>
      </c>
      <c r="L58" s="9" t="str">
        <f>IFERROR(__xludf.DUMMYFUNCTION("TRIM(REGEXREPLACE(R58 , ""TIM(._\w+)|."" , ""$1 "")  )"),"4_CH3")</f>
        <v>4_CH3</v>
      </c>
      <c r="M58" s="11" t="str">
        <f>IFERROR(__xludf.DUMMYFUNCTION("TRIM(REGEXREPLACE(R58 , ""OTG_([\w_]+)|."" , ""$1 "") )"),"")</f>
        <v/>
      </c>
      <c r="N58" s="9" t="str">
        <f>IFERROR(__xludf.DUMMYFUNCTION("TRIM(REGEXREPLACE(R58 , ""US?ART(._(TX|RX))|."" , ""$1 "")  )"),"")</f>
        <v/>
      </c>
      <c r="O58" s="9" t="str">
        <f>IFERROR(__xludf.DUMMYFUNCTION("TRIM(REGEXREPLACE(Q58 , ""DAC(\d+_OUT\d+)|."" , ""$1 "")  )"),"")</f>
        <v/>
      </c>
      <c r="P58" s="9" t="str">
        <f>IFERROR(__xludf.DUMMYFUNCTION("TRIM(REGEXREPLACE(REGEXREPLACE(R58, "","", "" ""), ""(EVENTOUT|TRACECLK|TRACED.|SPI._[^ ]*|SAI._[^ ]*|ETH_[^ ]*|QUADSPI_[^ ]*|FMC_[^ ]*|UART._[^ ]*|FDCAN._[^ ]*|DFSDM._[^ ]*|OTG_[^ ]*|TIM\d+_[^ ]*)( |$)"", "" ""))"),"")</f>
        <v/>
      </c>
      <c r="Q58" s="14"/>
      <c r="R58" s="17" t="s">
        <v>197</v>
      </c>
    </row>
    <row r="59">
      <c r="A59" s="5">
        <v>62.0</v>
      </c>
      <c r="B59" s="5" t="s">
        <v>198</v>
      </c>
      <c r="D59" s="15">
        <f>IF(COUNTIF(ConnectorPins!$F$2:$F$999, B59) &gt; 0, MATCH(B59, ConnectorPins!$F$2:$F$999, 0), IF(COUNTIF(ConnectorPins!$I$2:$I$999, B59) &gt; 0, MATCH(B59, ConnectorPins!$I$2:$I$999, 0), ""))</f>
        <v>9</v>
      </c>
      <c r="G59" s="9" t="str">
        <f>IFERROR(__xludf.DUMMYFUNCTION("TRIM(REGEXREPLACE(Q59 , ""ADC(\d+_(INN\d+|INP\d+)*)|."" , ""$1 "")  )"),"")</f>
        <v/>
      </c>
      <c r="I59" s="9" t="str">
        <f>IFERROR(__xludf.DUMMYFUNCTION("TRIM(REGEXREPLACE(R59 , ""SPI(._(MOSI|MISO|SCK))|."" , ""$1 "")  )"),"")</f>
        <v/>
      </c>
      <c r="J59" s="10" t="str">
        <f>IFERROR(__xludf.DUMMYFUNCTION("TRIM(REGEXREPLACE(R59 , ""FDCAN(._[\w_]+)|."" , ""$1 "")  )"),"")</f>
        <v/>
      </c>
      <c r="K59" s="16" t="str">
        <f>IFERROR(__xludf.DUMMYFUNCTION("TRIM(REGEXREPLACE(R59 , ""ETH_([\w_]+)|."" , ""$1 "")  )"),"")</f>
        <v/>
      </c>
      <c r="L59" s="9" t="str">
        <f>IFERROR(__xludf.DUMMYFUNCTION("TRIM(REGEXREPLACE(R59 , ""TIM(._\w+)|."" , ""$1 "")  )"),"4_CH4")</f>
        <v>4_CH4</v>
      </c>
      <c r="M59" s="11" t="str">
        <f>IFERROR(__xludf.DUMMYFUNCTION("TRIM(REGEXREPLACE(R59 , ""OTG_([\w_]+)|."" , ""$1 "") )"),"")</f>
        <v/>
      </c>
      <c r="N59" s="9" t="str">
        <f>IFERROR(__xludf.DUMMYFUNCTION("TRIM(REGEXREPLACE(R59 , ""US?ART(._(TX|RX))|."" , ""$1 "")  )"),"")</f>
        <v/>
      </c>
      <c r="O59" s="9" t="str">
        <f>IFERROR(__xludf.DUMMYFUNCTION("TRIM(REGEXREPLACE(Q59 , ""DAC(\d+_OUT\d+)|."" , ""$1 "")  )"),"")</f>
        <v/>
      </c>
      <c r="P59" s="9" t="str">
        <f>IFERROR(__xludf.DUMMYFUNCTION("TRIM(REGEXREPLACE(REGEXREPLACE(R59, "","", "" ""), ""(EVENTOUT|TRACECLK|TRACED.|SPI._[^ ]*|SAI._[^ ]*|ETH_[^ ]*|QUADSPI_[^ ]*|FMC_[^ ]*|UART._[^ ]*|FDCAN._[^ ]*|DFSDM._[^ ]*|OTG_[^ ]*|TIM\d+_[^ ]*)( |$)"", "" ""))"),"")</f>
        <v/>
      </c>
      <c r="Q59" s="14"/>
      <c r="R59" s="17" t="s">
        <v>199</v>
      </c>
    </row>
    <row r="60">
      <c r="A60" s="5">
        <v>83.0</v>
      </c>
      <c r="B60" s="5" t="s">
        <v>200</v>
      </c>
      <c r="C60" s="15" t="s">
        <v>147</v>
      </c>
      <c r="D60" s="15" t="str">
        <f>IF(COUNTIF(ConnectorPins!$F$2:$F$999, B60) &gt; 0, MATCH(B60, ConnectorPins!$F$2:$F$999, 0), IF(COUNTIF(ConnectorPins!$I$2:$I$999, B60) &gt; 0, MATCH(B60, ConnectorPins!$I$2:$I$999, 0), ""))</f>
        <v/>
      </c>
      <c r="G60" s="9" t="str">
        <f>IFERROR(__xludf.DUMMYFUNCTION("TRIM(REGEXREPLACE(Q60 , ""ADC(\d+_(INN\d+|INP\d+)*)|."" , ""$1 "")  )"),"")</f>
        <v/>
      </c>
      <c r="H60" s="15" t="s">
        <v>201</v>
      </c>
      <c r="I60" s="9" t="str">
        <f>IFERROR(__xludf.DUMMYFUNCTION("TRIM(REGEXREPLACE(R60 , ""SPI(._(MOSI|MISO|SCK))|."" , ""$1 "")  )"),"")</f>
        <v/>
      </c>
      <c r="J60" s="10" t="str">
        <f>IFERROR(__xludf.DUMMYFUNCTION("TRIM(REGEXREPLACE(R60 , ""FDCAN(._[\w_]+)|."" , ""$1 "")  )"),"")</f>
        <v/>
      </c>
      <c r="K60" s="16" t="str">
        <f>IFERROR(__xludf.DUMMYFUNCTION("TRIM(REGEXREPLACE(R60 , ""ETH_([\w_]+)|."" , ""$1 "")  )"),"")</f>
        <v/>
      </c>
      <c r="L60" s="9" t="str">
        <f>IFERROR(__xludf.DUMMYFUNCTION("TRIM(REGEXREPLACE(R60 , ""TIM(._\w+)|."" , ""$1 "")  )"),"3_ETR")</f>
        <v>3_ETR</v>
      </c>
      <c r="M60" s="11" t="str">
        <f>IFERROR(__xludf.DUMMYFUNCTION("TRIM(REGEXREPLACE(R60 , ""OTG_([\w_]+)|."" , ""$1 "") )"),"")</f>
        <v/>
      </c>
      <c r="N60" s="9" t="str">
        <f>IFERROR(__xludf.DUMMYFUNCTION("TRIM(REGEXREPLACE(R60 , ""US?ART(._(TX|RX))|."" , ""$1 "")  )"),"5_RX")</f>
        <v>5_RX</v>
      </c>
      <c r="O60" s="9" t="str">
        <f>IFERROR(__xludf.DUMMYFUNCTION("TRIM(REGEXREPLACE(Q60 , ""DAC(\d+_OUT\d+)|."" , ""$1 "")  )"),"")</f>
        <v/>
      </c>
      <c r="P60" s="9" t="str">
        <f>IFERROR(__xludf.DUMMYFUNCTION("TRIM(REGEXREPLACE(REGEXREPLACE(R60, "","", "" ""), ""(EVENTOUT|TRACECLK|TRACED.|SPI._[^ ]*|SAI._[^ ]*|ETH_[^ ]*|QUADSPI_[^ ]*|FMC_[^ ]*|UART._[^ ]*|FDCAN._[^ ]*|DFSDM._[^ ]*|OTG_[^ ]*|TIM\d+_[^ ]*)( |$)"", "" ""))"),"SDMMC1_CMD DCMI_D11")</f>
        <v>SDMMC1_CMD DCMI_D11</v>
      </c>
      <c r="Q60" s="14"/>
      <c r="R60" s="17" t="s">
        <v>202</v>
      </c>
    </row>
    <row r="61">
      <c r="A61" s="5">
        <v>84.0</v>
      </c>
      <c r="B61" s="5" t="s">
        <v>203</v>
      </c>
      <c r="C61" s="15" t="s">
        <v>204</v>
      </c>
      <c r="D61" s="15" t="str">
        <f>IF(COUNTIF(ConnectorPins!$F$2:$F$999, B61) &gt; 0, MATCH(B61, ConnectorPins!$F$2:$F$999, 0), IF(COUNTIF(ConnectorPins!$I$2:$I$999, B61) &gt; 0, MATCH(B61, ConnectorPins!$I$2:$I$999, 0), ""))</f>
        <v/>
      </c>
      <c r="G61" s="9" t="str">
        <f>IFERROR(__xludf.DUMMYFUNCTION("TRIM(REGEXREPLACE(Q61 , ""ADC(\d+_(INN\d+|INP\d+)*)|."" , ""$1 "")  )"),"")</f>
        <v/>
      </c>
      <c r="I61" s="10" t="str">
        <f>IFERROR(__xludf.DUMMYFUNCTION("TRIM(REGEXREPLACE(R61 , ""SPI(._(MOSI|MISO|SCK))|."" , ""$1 "")  )"),"2_SCK")</f>
        <v>2_SCK</v>
      </c>
      <c r="J61" s="10" t="str">
        <f>IFERROR(__xludf.DUMMYFUNCTION("TRIM(REGEXREPLACE(R61 , ""FDCAN(._[\w_]+)|."" , ""$1 "")  )"),"")</f>
        <v/>
      </c>
      <c r="K61" s="16" t="str">
        <f>IFERROR(__xludf.DUMMYFUNCTION("TRIM(REGEXREPLACE(R61 , ""ETH_([\w_]+)|."" , ""$1 "")  )"),"")</f>
        <v/>
      </c>
      <c r="L61" s="9" t="str">
        <f>IFERROR(__xludf.DUMMYFUNCTION("TRIM(REGEXREPLACE(R61 , ""TIM(._\w+)|."" , ""$1 "")  )"),"")</f>
        <v/>
      </c>
      <c r="M61" s="11" t="str">
        <f>IFERROR(__xludf.DUMMYFUNCTION("TRIM(REGEXREPLACE(R61 , ""OTG_([\w_]+)|."" , ""$1 "") )"),"")</f>
        <v/>
      </c>
      <c r="N61" s="9" t="str">
        <f>IFERROR(__xludf.DUMMYFUNCTION("TRIM(REGEXREPLACE(R61 , ""US?ART(._(TX|RX))|."" , ""$1 "")  )"),"")</f>
        <v/>
      </c>
      <c r="O61" s="9" t="str">
        <f>IFERROR(__xludf.DUMMYFUNCTION("TRIM(REGEXREPLACE(Q61 , ""DAC(\d+_OUT\d+)|."" , ""$1 "")  )"),"")</f>
        <v/>
      </c>
      <c r="P61" s="9" t="str">
        <f>IFERROR(__xludf.DUMMYFUNCTION("TRIM(REGEXREPLACE(REGEXREPLACE(R61, "","", "" ""), ""(EVENTOUT|TRACECLK|TRACED.|SPI._[^ ]*|SAI._[^ ]*|ETH_[^ ]*|QUADSPI_[^ ]*|FMC_[^ ]*|UART._[^ ]*|FDCAN._[^ ]*|DFSDM._[^ ]*|OTG_[^ ]*|TIM\d+_[^ ]*)( |$)"", "" ""))"),"USART2_CTS/USART2_NSS DCMI_D5 LCD_G7")</f>
        <v>USART2_CTS/USART2_NSS DCMI_D5 LCD_G7</v>
      </c>
      <c r="Q61" s="14"/>
      <c r="R61" s="17" t="s">
        <v>205</v>
      </c>
    </row>
    <row r="62">
      <c r="A62" s="5">
        <v>85.0</v>
      </c>
      <c r="B62" s="5" t="s">
        <v>206</v>
      </c>
      <c r="C62" s="15" t="s">
        <v>147</v>
      </c>
      <c r="D62" s="15" t="str">
        <f>IF(COUNTIF(ConnectorPins!$F$2:$F$999, B62) &gt; 0, MATCH(B62, ConnectorPins!$F$2:$F$999, 0), IF(COUNTIF(ConnectorPins!$I$2:$I$999, B62) &gt; 0, MATCH(B62, ConnectorPins!$I$2:$I$999, 0), ""))</f>
        <v/>
      </c>
      <c r="G62" s="9" t="str">
        <f>IFERROR(__xludf.DUMMYFUNCTION("TRIM(REGEXREPLACE(Q62 , ""ADC(\d+_(INN\d+|INP\d+)*)|."" , ""$1 "")  )"),"")</f>
        <v/>
      </c>
      <c r="H62" s="15" t="s">
        <v>207</v>
      </c>
      <c r="I62" s="9" t="str">
        <f>IFERROR(__xludf.DUMMYFUNCTION("TRIM(REGEXREPLACE(R62 , ""SPI(._(MOSI|MISO|SCK))|."" , ""$1 "")  )"),"")</f>
        <v/>
      </c>
      <c r="J62" s="10" t="str">
        <f>IFERROR(__xludf.DUMMYFUNCTION("TRIM(REGEXREPLACE(R62 , ""FDCAN(._[\w_]+)|."" , ""$1 "")  )"),"")</f>
        <v/>
      </c>
      <c r="K62" s="16" t="str">
        <f>IFERROR(__xludf.DUMMYFUNCTION("TRIM(REGEXREPLACE(R62 , ""ETH_([\w_]+)|."" , ""$1 "")  )"),"")</f>
        <v/>
      </c>
      <c r="L62" s="9" t="str">
        <f>IFERROR(__xludf.DUMMYFUNCTION("TRIM(REGEXREPLACE(R62 , ""TIM(._\w+)|."" , ""$1 "")  )"),"")</f>
        <v/>
      </c>
      <c r="M62" s="11" t="str">
        <f>IFERROR(__xludf.DUMMYFUNCTION("TRIM(REGEXREPLACE(R62 , ""OTG_([\w_]+)|."" , ""$1 "") )"),"")</f>
        <v/>
      </c>
      <c r="N62" s="9" t="str">
        <f>IFERROR(__xludf.DUMMYFUNCTION("TRIM(REGEXREPLACE(R62 , ""US?ART(._(TX|RX))|."" , ""$1 "")  )"),"")</f>
        <v/>
      </c>
      <c r="O62" s="9" t="str">
        <f>IFERROR(__xludf.DUMMYFUNCTION("TRIM(REGEXREPLACE(Q62 , ""DAC(\d+_OUT\d+)|."" , ""$1 "")  )"),"")</f>
        <v/>
      </c>
      <c r="P62" s="9" t="str">
        <f>IFERROR(__xludf.DUMMYFUNCTION("TRIM(REGEXREPLACE(REGEXREPLACE(R62, "","", "" ""), ""(EVENTOUT|TRACECLK|TRACED.|SPI._[^ ]*|SAI._[^ ]*|ETH_[^ ]*|QUADSPI_[^ ]*|FMC_[^ ]*|UART._[^ ]*|FDCAN._[^ ]*|DFSDM._[^ ]*|OTG_[^ ]*|TIM\d+_[^ ]*)( |$)"", "" ""))"),"HRTIM_FLT3 USART2_RTS/USART2_DE")</f>
        <v>HRTIM_FLT3 USART2_RTS/USART2_DE</v>
      </c>
      <c r="Q62" s="14"/>
      <c r="R62" s="17" t="s">
        <v>208</v>
      </c>
    </row>
    <row r="63">
      <c r="A63" s="5">
        <v>86.0</v>
      </c>
      <c r="B63" s="5" t="s">
        <v>209</v>
      </c>
      <c r="C63" s="15" t="s">
        <v>147</v>
      </c>
      <c r="D63" s="15" t="str">
        <f>IF(COUNTIF(ConnectorPins!$F$2:$F$999, B63) &gt; 0, MATCH(B63, ConnectorPins!$F$2:$F$999, 0), IF(COUNTIF(ConnectorPins!$I$2:$I$999, B63) &gt; 0, MATCH(B63, ConnectorPins!$I$2:$I$999, 0), ""))</f>
        <v/>
      </c>
      <c r="G63" s="9" t="str">
        <f>IFERROR(__xludf.DUMMYFUNCTION("TRIM(REGEXREPLACE(Q63 , ""ADC(\d+_(INN\d+|INP\d+)*)|."" , ""$1 "")  )"),"")</f>
        <v/>
      </c>
      <c r="H63" s="15" t="s">
        <v>210</v>
      </c>
      <c r="I63" s="9" t="str">
        <f>IFERROR(__xludf.DUMMYFUNCTION("TRIM(REGEXREPLACE(R63 , ""SPI(._(MOSI|MISO|SCK))|."" , ""$1 "")  )"),"")</f>
        <v/>
      </c>
      <c r="J63" s="10" t="str">
        <f>IFERROR(__xludf.DUMMYFUNCTION("TRIM(REGEXREPLACE(R63 , ""FDCAN(._[\w_]+)|."" , ""$1 "")  )"),"")</f>
        <v/>
      </c>
      <c r="K63" s="16" t="str">
        <f>IFERROR(__xludf.DUMMYFUNCTION("TRIM(REGEXREPLACE(R63 , ""ETH_([\w_]+)|."" , ""$1 "")  )"),"")</f>
        <v/>
      </c>
      <c r="L63" s="9" t="str">
        <f>IFERROR(__xludf.DUMMYFUNCTION("TRIM(REGEXREPLACE(R63 , ""TIM(._\w+)|."" , ""$1 "")  )"),"")</f>
        <v/>
      </c>
      <c r="M63" s="11" t="str">
        <f>IFERROR(__xludf.DUMMYFUNCTION("TRIM(REGEXREPLACE(R63 , ""OTG_([\w_]+)|."" , ""$1 "") )"),"")</f>
        <v/>
      </c>
      <c r="N63" s="9" t="str">
        <f>IFERROR(__xludf.DUMMYFUNCTION("TRIM(REGEXREPLACE(R63 , ""US?ART(._(TX|RX))|."" , ""$1 "")  )"),"2_TX")</f>
        <v>2_TX</v>
      </c>
      <c r="O63" s="9" t="str">
        <f>IFERROR(__xludf.DUMMYFUNCTION("TRIM(REGEXREPLACE(Q63 , ""DAC(\d+_OUT\d+)|."" , ""$1 "")  )"),"")</f>
        <v/>
      </c>
      <c r="P63" s="9" t="str">
        <f>IFERROR(__xludf.DUMMYFUNCTION("TRIM(REGEXREPLACE(REGEXREPLACE(R63, "","", "" ""), ""(EVENTOUT|TRACECLK|TRACED.|SPI._[^ ]*|SAI._[^ ]*|ETH_[^ ]*|QUADSPI_[^ ]*|FMC_[^ ]*|UART._[^ ]*|FDCAN._[^ ]*|DFSDM._[^ ]*|OTG_[^ ]*|TIM\d+_[^ ]*)( |$)"", "" ""))"),"HRTIM_EEV3 USART2_TX")</f>
        <v>HRTIM_EEV3 USART2_TX</v>
      </c>
      <c r="Q63" s="14"/>
      <c r="R63" s="17" t="s">
        <v>211</v>
      </c>
    </row>
    <row r="64">
      <c r="A64" s="5">
        <v>87.0</v>
      </c>
      <c r="B64" s="5" t="s">
        <v>212</v>
      </c>
      <c r="C64" s="15" t="s">
        <v>147</v>
      </c>
      <c r="D64" s="15" t="str">
        <f>IF(COUNTIF(ConnectorPins!$F$2:$F$999, B64) &gt; 0, MATCH(B64, ConnectorPins!$F$2:$F$999, 0), IF(COUNTIF(ConnectorPins!$I$2:$I$999, B64) &gt; 0, MATCH(B64, ConnectorPins!$I$2:$I$999, 0), ""))</f>
        <v/>
      </c>
      <c r="G64" s="9" t="str">
        <f>IFERROR(__xludf.DUMMYFUNCTION("TRIM(REGEXREPLACE(Q64 , ""ADC(\d+_(INN\d+|INP\d+)*)|."" , ""$1 "")  )"),"")</f>
        <v/>
      </c>
      <c r="H64" s="15" t="s">
        <v>213</v>
      </c>
      <c r="I64" s="10" t="str">
        <f>IFERROR(__xludf.DUMMYFUNCTION("TRIM(REGEXREPLACE(R64 , ""SPI(._(MOSI|MISO|SCK))|."" , ""$1 "")  )"),"3_MOSI")</f>
        <v>3_MOSI</v>
      </c>
      <c r="J64" s="10" t="str">
        <f>IFERROR(__xludf.DUMMYFUNCTION("TRIM(REGEXREPLACE(R64 , ""FDCAN(._[\w_]+)|."" , ""$1 "")  )"),"")</f>
        <v/>
      </c>
      <c r="K64" s="16" t="str">
        <f>IFERROR(__xludf.DUMMYFUNCTION("TRIM(REGEXREPLACE(R64 , ""ETH_([\w_]+)|."" , ""$1 "")  )"),"")</f>
        <v/>
      </c>
      <c r="L64" s="9" t="str">
        <f>IFERROR(__xludf.DUMMYFUNCTION("TRIM(REGEXREPLACE(R64 , ""TIM(._\w+)|."" , ""$1 "")  )"),"")</f>
        <v/>
      </c>
      <c r="M64" s="11" t="str">
        <f>IFERROR(__xludf.DUMMYFUNCTION("TRIM(REGEXREPLACE(R64 , ""OTG_([\w_]+)|."" , ""$1 "") )"),"")</f>
        <v/>
      </c>
      <c r="N64" s="9" t="str">
        <f>IFERROR(__xludf.DUMMYFUNCTION("TRIM(REGEXREPLACE(R64 , ""US?ART(._(TX|RX))|."" , ""$1 "")  )"),"2_RX")</f>
        <v>2_RX</v>
      </c>
      <c r="O64" s="9" t="str">
        <f>IFERROR(__xludf.DUMMYFUNCTION("TRIM(REGEXREPLACE(Q64 , ""DAC(\d+_OUT\d+)|."" , ""$1 "")  )"),"")</f>
        <v/>
      </c>
      <c r="P64" s="9" t="str">
        <f>IFERROR(__xludf.DUMMYFUNCTION("TRIM(REGEXREPLACE(REGEXREPLACE(R64, "","", "" ""), ""(EVENTOUT|TRACECLK|TRACED.|SPI._[^ ]*|SAI._[^ ]*|ETH_[^ ]*|QUADSPI_[^ ]*|FMC_[^ ]*|UART._[^ ]*|FDCAN._[^ ]*|DFSDM._[^ ]*|OTG_[^ ]*|TIM\d+_[^ ]*)( |$)"", "" ""))"),"USART2_RX SDMMC2_CK DCMI_D10 LCD_B2")</f>
        <v>USART2_RX SDMMC2_CK DCMI_D10 LCD_B2</v>
      </c>
      <c r="Q64" s="14"/>
      <c r="R64" s="17" t="s">
        <v>214</v>
      </c>
    </row>
    <row r="65">
      <c r="A65" s="5">
        <v>88.0</v>
      </c>
      <c r="B65" s="5" t="s">
        <v>215</v>
      </c>
      <c r="C65" s="15" t="s">
        <v>216</v>
      </c>
      <c r="D65" s="15" t="str">
        <f>IF(COUNTIF(ConnectorPins!$F$2:$F$999, B65) &gt; 0, MATCH(B65, ConnectorPins!$F$2:$F$999, 0), IF(COUNTIF(ConnectorPins!$I$2:$I$999, B65) &gt; 0, MATCH(B65, ConnectorPins!$I$2:$I$999, 0), ""))</f>
        <v/>
      </c>
      <c r="G65" s="9" t="str">
        <f>IFERROR(__xludf.DUMMYFUNCTION("TRIM(REGEXREPLACE(Q65 , ""ADC(\d+_(INN\d+|INP\d+)*)|."" , ""$1 "")  )"),"")</f>
        <v/>
      </c>
      <c r="I65" s="10" t="str">
        <f>IFERROR(__xludf.DUMMYFUNCTION("TRIM(REGEXREPLACE(R65 , ""SPI(._(MOSI|MISO|SCK))|."" , ""$1 "")  )"),"1_MOSI")</f>
        <v>1_MOSI</v>
      </c>
      <c r="J65" s="10" t="str">
        <f>IFERROR(__xludf.DUMMYFUNCTION("TRIM(REGEXREPLACE(R65 , ""FDCAN(._[\w_]+)|."" , ""$1 "")  )"),"")</f>
        <v/>
      </c>
      <c r="K65" s="16" t="str">
        <f>IFERROR(__xludf.DUMMYFUNCTION("TRIM(REGEXREPLACE(R65 , ""ETH_([\w_]+)|."" , ""$1 "")  )"),"")</f>
        <v/>
      </c>
      <c r="L65" s="9" t="str">
        <f>IFERROR(__xludf.DUMMYFUNCTION("TRIM(REGEXREPLACE(R65 , ""TIM(._\w+)|."" , ""$1 "")  )"),"")</f>
        <v/>
      </c>
      <c r="M65" s="11" t="str">
        <f>IFERROR(__xludf.DUMMYFUNCTION("TRIM(REGEXREPLACE(R65 , ""OTG_([\w_]+)|."" , ""$1 "") )"),"")</f>
        <v/>
      </c>
      <c r="N65" s="9" t="str">
        <f>IFERROR(__xludf.DUMMYFUNCTION("TRIM(REGEXREPLACE(R65 , ""US?ART(._(TX|RX))|."" , ""$1 "")  )"),"")</f>
        <v/>
      </c>
      <c r="O65" s="9" t="str">
        <f>IFERROR(__xludf.DUMMYFUNCTION("TRIM(REGEXREPLACE(Q65 , ""DAC(\d+_OUT\d+)|."" , ""$1 "")  )"),"")</f>
        <v/>
      </c>
      <c r="P65" s="9" t="str">
        <f>IFERROR(__xludf.DUMMYFUNCTION("TRIM(REGEXREPLACE(REGEXREPLACE(R65, "","", "" ""), ""(EVENTOUT|TRACECLK|TRACED.|SPI._[^ ]*|SAI._[^ ]*|ETH_[^ ]*|QUADSPI_[^ ]*|FMC_[^ ]*|UART._[^ ]*|FDCAN._[^ ]*|DFSDM._[^ ]*|OTG_[^ ]*|TIM\d+_[^ ]*)( |$)"", "" ""))"),"USART2_CK SPDIFRX1_IN1 SDMMC2_CMD")</f>
        <v>USART2_CK SPDIFRX1_IN1 SDMMC2_CMD</v>
      </c>
      <c r="Q65" s="14"/>
      <c r="R65" s="17" t="s">
        <v>217</v>
      </c>
    </row>
    <row r="66">
      <c r="A66" s="5">
        <v>55.0</v>
      </c>
      <c r="B66" s="5" t="s">
        <v>218</v>
      </c>
      <c r="C66" s="15" t="s">
        <v>147</v>
      </c>
      <c r="D66" s="15" t="str">
        <f>IF(COUNTIF(ConnectorPins!$F$2:$F$999, B66) &gt; 0, MATCH(B66, ConnectorPins!$F$2:$F$999, 0), IF(COUNTIF(ConnectorPins!$I$2:$I$999, B66) &gt; 0, MATCH(B66, ConnectorPins!$I$2:$I$999, 0), ""))</f>
        <v/>
      </c>
      <c r="G66" s="9" t="str">
        <f>IFERROR(__xludf.DUMMYFUNCTION("TRIM(REGEXREPLACE(Q66 , ""ADC(\d+_(INN\d+|INP\d+)*)|."" , ""$1 "")  )"),"")</f>
        <v/>
      </c>
      <c r="H66" s="15" t="s">
        <v>219</v>
      </c>
      <c r="I66" s="9" t="str">
        <f>IFERROR(__xludf.DUMMYFUNCTION("TRIM(REGEXREPLACE(R66 , ""SPI(._(MOSI|MISO|SCK))|."" , ""$1 "")  )"),"")</f>
        <v/>
      </c>
      <c r="J66" s="10" t="str">
        <f>IFERROR(__xludf.DUMMYFUNCTION("TRIM(REGEXREPLACE(R66 , ""FDCAN(._[\w_]+)|."" , ""$1 "")  )"),"")</f>
        <v/>
      </c>
      <c r="K66" s="16" t="str">
        <f>IFERROR(__xludf.DUMMYFUNCTION("TRIM(REGEXREPLACE(R66 , ""ETH_([\w_]+)|."" , ""$1 "")  )"),"")</f>
        <v/>
      </c>
      <c r="L66" s="9" t="str">
        <f>IFERROR(__xludf.DUMMYFUNCTION("TRIM(REGEXREPLACE(R66 , ""TIM(._\w+)|."" , ""$1 "")  )"),"")</f>
        <v/>
      </c>
      <c r="M66" s="11" t="str">
        <f>IFERROR(__xludf.DUMMYFUNCTION("TRIM(REGEXREPLACE(R66 , ""OTG_([\w_]+)|."" , ""$1 "") )"),"")</f>
        <v/>
      </c>
      <c r="N66" s="9" t="str">
        <f>IFERROR(__xludf.DUMMYFUNCTION("TRIM(REGEXREPLACE(R66 , ""US?ART(._(TX|RX))|."" , ""$1 "")  )"),"3_TX")</f>
        <v>3_TX</v>
      </c>
      <c r="O66" s="9" t="str">
        <f>IFERROR(__xludf.DUMMYFUNCTION("TRIM(REGEXREPLACE(Q66 , ""DAC(\d+_OUT\d+)|."" , ""$1 "")  )"),"")</f>
        <v/>
      </c>
      <c r="P66" s="9" t="str">
        <f>IFERROR(__xludf.DUMMYFUNCTION("TRIM(REGEXREPLACE(REGEXREPLACE(R66, "","", "" ""), ""(EVENTOUT|TRACECLK|TRACED.|SPI._[^ ]*|SAI._[^ ]*|ETH_[^ ]*|QUADSPI_[^ ]*|FMC_[^ ]*|UART._[^ ]*|FDCAN._[^ ]*|DFSDM._[^ ]*|OTG_[^ ]*|TIM\d+_[^ ]*)( |$)"", "" ""))"),"USART3_TX SPDIFRX1_IN2")</f>
        <v>USART3_TX SPDIFRX1_IN2</v>
      </c>
      <c r="Q66" s="14"/>
      <c r="R66" s="17" t="s">
        <v>220</v>
      </c>
    </row>
    <row r="67">
      <c r="A67" s="5">
        <v>56.0</v>
      </c>
      <c r="B67" s="5" t="s">
        <v>221</v>
      </c>
      <c r="C67" s="15" t="s">
        <v>147</v>
      </c>
      <c r="D67" s="15" t="str">
        <f>IF(COUNTIF(ConnectorPins!$F$2:$F$999, B67) &gt; 0, MATCH(B67, ConnectorPins!$F$2:$F$999, 0), IF(COUNTIF(ConnectorPins!$I$2:$I$999, B67) &gt; 0, MATCH(B67, ConnectorPins!$I$2:$I$999, 0), ""))</f>
        <v/>
      </c>
      <c r="G67" s="9" t="str">
        <f>IFERROR(__xludf.DUMMYFUNCTION("TRIM(REGEXREPLACE(Q67 , ""ADC(\d+_(INN\d+|INP\d+)*)|."" , ""$1 "")  )"),"")</f>
        <v/>
      </c>
      <c r="H67" s="15" t="s">
        <v>222</v>
      </c>
      <c r="I67" s="9" t="str">
        <f>IFERROR(__xludf.DUMMYFUNCTION("TRIM(REGEXREPLACE(R67 , ""SPI(._(MOSI|MISO|SCK))|."" , ""$1 "")  )"),"")</f>
        <v/>
      </c>
      <c r="J67" s="10" t="str">
        <f>IFERROR(__xludf.DUMMYFUNCTION("TRIM(REGEXREPLACE(R67 , ""FDCAN(._[\w_]+)|."" , ""$1 "")  )"),"")</f>
        <v/>
      </c>
      <c r="K67" s="16" t="str">
        <f>IFERROR(__xludf.DUMMYFUNCTION("TRIM(REGEXREPLACE(R67 , ""ETH_([\w_]+)|."" , ""$1 "")  )"),"")</f>
        <v/>
      </c>
      <c r="L67" s="9" t="str">
        <f>IFERROR(__xludf.DUMMYFUNCTION("TRIM(REGEXREPLACE(R67 , ""TIM(._\w+)|."" , ""$1 "")  )"),"")</f>
        <v/>
      </c>
      <c r="M67" s="11" t="str">
        <f>IFERROR(__xludf.DUMMYFUNCTION("TRIM(REGEXREPLACE(R67 , ""OTG_([\w_]+)|."" , ""$1 "") )"),"")</f>
        <v/>
      </c>
      <c r="N67" s="9" t="str">
        <f>IFERROR(__xludf.DUMMYFUNCTION("TRIM(REGEXREPLACE(R67 , ""US?ART(._(TX|RX))|."" , ""$1 "")  )"),"3_RX")</f>
        <v>3_RX</v>
      </c>
      <c r="O67" s="9" t="str">
        <f>IFERROR(__xludf.DUMMYFUNCTION("TRIM(REGEXREPLACE(Q67 , ""DAC(\d+_OUT\d+)|."" , ""$1 "")  )"),"")</f>
        <v/>
      </c>
      <c r="P67" s="9" t="str">
        <f>IFERROR(__xludf.DUMMYFUNCTION("TRIM(REGEXREPLACE(REGEXREPLACE(R67, "","", "" ""), ""(EVENTOUT|TRACECLK|TRACED.|SPI._[^ ]*|SAI._[^ ]*|ETH_[^ ]*|QUADSPI_[^ ]*|FMC_[^ ]*|UART._[^ ]*|FDCAN._[^ ]*|DFSDM._[^ ]*|OTG_[^ ]*|TIM\d+_[^ ]*)( |$)"", "" ""))"),"USART3_RX")</f>
        <v>USART3_RX</v>
      </c>
      <c r="Q67" s="14"/>
      <c r="R67" s="17" t="s">
        <v>223</v>
      </c>
    </row>
    <row r="68">
      <c r="A68" s="5">
        <v>97.0</v>
      </c>
      <c r="B68" s="5" t="s">
        <v>224</v>
      </c>
      <c r="D68" s="15">
        <f>IF(COUNTIF(ConnectorPins!$F$2:$F$999, B68) &gt; 0, MATCH(B68, ConnectorPins!$F$2:$F$999, 0), IF(COUNTIF(ConnectorPins!$I$2:$I$999, B68) &gt; 0, MATCH(B68, ConnectorPins!$I$2:$I$999, 0), ""))</f>
        <v>4</v>
      </c>
      <c r="E68" s="15" t="s">
        <v>225</v>
      </c>
      <c r="G68" s="9" t="str">
        <f>IFERROR(__xludf.DUMMYFUNCTION("TRIM(REGEXREPLACE(Q68 , ""ADC(\d+_(INN\d+|INP\d+)*)|."" , ""$1 "")  )"),"")</f>
        <v/>
      </c>
      <c r="I68" s="9" t="str">
        <f>IFERROR(__xludf.DUMMYFUNCTION("TRIM(REGEXREPLACE(R68 , ""SPI(._(MOSI|MISO|SCK))|."" , ""$1 "")  )"),"")</f>
        <v/>
      </c>
      <c r="J68" s="10" t="str">
        <f>IFERROR(__xludf.DUMMYFUNCTION("TRIM(REGEXREPLACE(R68 , ""FDCAN(._[\w_]+)|."" , ""$1 "")  )"),"")</f>
        <v/>
      </c>
      <c r="K68" s="16" t="str">
        <f>IFERROR(__xludf.DUMMYFUNCTION("TRIM(REGEXREPLACE(R68 , ""ETH_([\w_]+)|."" , ""$1 "")  )"),"")</f>
        <v/>
      </c>
      <c r="L68" s="9" t="str">
        <f>IFERROR(__xludf.DUMMYFUNCTION("TRIM(REGEXREPLACE(R68 , ""TIM(._\w+)|."" , ""$1 "")  )"),"1_ETR 4_ETR 2_ETR")</f>
        <v>1_ETR 4_ETR 2_ETR</v>
      </c>
      <c r="M68" s="11" t="str">
        <f>IFERROR(__xludf.DUMMYFUNCTION("TRIM(REGEXREPLACE(R68 , ""OTG_([\w_]+)|."" , ""$1 "") )"),"")</f>
        <v/>
      </c>
      <c r="N68" s="10" t="str">
        <f>IFERROR(__xludf.DUMMYFUNCTION("TRIM(REGEXREPLACE(R68 , ""US?ART(._(TX|RX))|."" , ""$1 "")  )"),"8_RX")</f>
        <v>8_RX</v>
      </c>
      <c r="O68" s="9" t="str">
        <f>IFERROR(__xludf.DUMMYFUNCTION("TRIM(REGEXREPLACE(Q68 , ""DAC(\d+_OUT\d+)|."" , ""$1 "")  )"),"")</f>
        <v/>
      </c>
      <c r="P68" s="9" t="str">
        <f>IFERROR(__xludf.DUMMYFUNCTION("TRIM(REGEXREPLACE(REGEXREPLACE(R68, "","", "" ""), ""(EVENTOUT|TRACECLK|TRACED.|SPI._[^ ]*|SAI._[^ ]*|ETH_[^ ]*|QUADSPI_[^ ]*|FMC_[^ ]*|UART._[^ ]*|FDCAN._[^ ]*|DFSDM._[^ ]*|OTG_[^ ]*|TIM\d+_[^ ]*)( |$)"", "" ""))"),"LP HRTIM_SCIN LP DCMI_D2")</f>
        <v>LP HRTIM_SCIN LP DCMI_D2</v>
      </c>
      <c r="Q68" s="14"/>
      <c r="R68" s="17" t="s">
        <v>226</v>
      </c>
    </row>
    <row r="69">
      <c r="A69" s="5">
        <v>98.0</v>
      </c>
      <c r="B69" s="5" t="s">
        <v>227</v>
      </c>
      <c r="D69" s="15">
        <f>IF(COUNTIF(ConnectorPins!$F$2:$F$999, B69) &gt; 0, MATCH(B69, ConnectorPins!$F$2:$F$999, 0), IF(COUNTIF(ConnectorPins!$I$2:$I$999, B69) &gt; 0, MATCH(B69, ConnectorPins!$I$2:$I$999, 0), ""))</f>
        <v>5</v>
      </c>
      <c r="E69" s="15" t="s">
        <v>228</v>
      </c>
      <c r="G69" s="9" t="str">
        <f>IFERROR(__xludf.DUMMYFUNCTION("TRIM(REGEXREPLACE(Q69 , ""ADC(\d+_(INN\d+|INP\d+)*)|."" , ""$1 "")  )"),"")</f>
        <v/>
      </c>
      <c r="I69" s="9" t="str">
        <f>IFERROR(__xludf.DUMMYFUNCTION("TRIM(REGEXREPLACE(R69 , ""SPI(._(MOSI|MISO|SCK))|."" , ""$1 "")  )"),"")</f>
        <v/>
      </c>
      <c r="J69" s="10" t="str">
        <f>IFERROR(__xludf.DUMMYFUNCTION("TRIM(REGEXREPLACE(R69 , ""FDCAN(._[\w_]+)|."" , ""$1 "")  )"),"")</f>
        <v/>
      </c>
      <c r="K69" s="16" t="str">
        <f>IFERROR(__xludf.DUMMYFUNCTION("TRIM(REGEXREPLACE(R69 , ""ETH_([\w_]+)|."" , ""$1 "")  )"),"")</f>
        <v/>
      </c>
      <c r="L69" s="9" t="str">
        <f>IFERROR(__xludf.DUMMYFUNCTION("TRIM(REGEXREPLACE(R69 , ""TIM(._\w+)|."" , ""$1 "")  )"),"1_IN2")</f>
        <v>1_IN2</v>
      </c>
      <c r="M69" s="11" t="str">
        <f>IFERROR(__xludf.DUMMYFUNCTION("TRIM(REGEXREPLACE(R69 , ""OTG_([\w_]+)|."" , ""$1 "") )"),"")</f>
        <v/>
      </c>
      <c r="N69" s="10" t="str">
        <f>IFERROR(__xludf.DUMMYFUNCTION("TRIM(REGEXREPLACE(R69 , ""US?ART(._(TX|RX))|."" , ""$1 "")  )"),"8_TX")</f>
        <v>8_TX</v>
      </c>
      <c r="O69" s="9" t="str">
        <f>IFERROR(__xludf.DUMMYFUNCTION("TRIM(REGEXREPLACE(Q69 , ""DAC(\d+_OUT\d+)|."" , ""$1 "")  )"),"")</f>
        <v/>
      </c>
      <c r="P69" s="9" t="str">
        <f>IFERROR(__xludf.DUMMYFUNCTION("TRIM(REGEXREPLACE(REGEXREPLACE(R69, "","", "" ""), ""(EVENTOUT|TRACECLK|TRACED.|SPI._[^ ]*|SAI._[^ ]*|ETH_[^ ]*|QUADSPI_[^ ]*|FMC_[^ ]*|UART._[^ ]*|FDCAN._[^ ]*|DFSDM._[^ ]*|OTG_[^ ]*|TIM\d+_[^ ]*)( |$)"", "" ""))"),"LP HRTIM_SCOUT DCMI_D3")</f>
        <v>LP HRTIM_SCOUT DCMI_D3</v>
      </c>
      <c r="Q69" s="14"/>
      <c r="R69" s="17" t="s">
        <v>229</v>
      </c>
    </row>
    <row r="70">
      <c r="A70" s="5">
        <v>40.0</v>
      </c>
      <c r="B70" s="5" t="s">
        <v>230</v>
      </c>
      <c r="D70" s="15">
        <f>IF(COUNTIF(ConnectorPins!$F$2:$F$999, B70) &gt; 0, MATCH(B70, ConnectorPins!$F$2:$F$999, 0), IF(COUNTIF(ConnectorPins!$I$2:$I$999, B70) &gt; 0, MATCH(B70, ConnectorPins!$I$2:$I$999, 0) + 35, ""))</f>
        <v>13</v>
      </c>
      <c r="E70" s="15" t="s">
        <v>231</v>
      </c>
      <c r="G70" s="9" t="str">
        <f>IFERROR(__xludf.DUMMYFUNCTION("TRIM(REGEXREPLACE(Q70 , ""ADC(\d+_(INN\d+|INP\d+)*)|."" , ""$1 "")  )"),"")</f>
        <v/>
      </c>
      <c r="I70" s="9" t="str">
        <f>IFERROR(__xludf.DUMMYFUNCTION("TRIM(REGEXREPLACE(R70 , ""SPI(._(MOSI|MISO|SCK))|."" , ""$1 "")  )"),"")</f>
        <v/>
      </c>
      <c r="J70" s="10" t="str">
        <f>IFERROR(__xludf.DUMMYFUNCTION("TRIM(REGEXREPLACE(R70 , ""FDCAN(._[\w_]+)|."" , ""$1 "")  )"),"")</f>
        <v/>
      </c>
      <c r="K70" s="16" t="str">
        <f>IFERROR(__xludf.DUMMYFUNCTION("TRIM(REGEXREPLACE(R70 , ""ETH_([\w_]+)|."" , ""$1 "")  )"),"")</f>
        <v/>
      </c>
      <c r="L70" s="9" t="str">
        <f>IFERROR(__xludf.DUMMYFUNCTION("TRIM(REGEXREPLACE(R70 , ""TIM(._\w+)|."" , ""$1 "")  )"),"1_CH2N")</f>
        <v>1_CH2N</v>
      </c>
      <c r="M70" s="11" t="str">
        <f>IFERROR(__xludf.DUMMYFUNCTION("TRIM(REGEXREPLACE(R70 , ""OTG_([\w_]+)|."" , ""$1 "") )"),"")</f>
        <v/>
      </c>
      <c r="N70" s="9" t="str">
        <f>IFERROR(__xludf.DUMMYFUNCTION("TRIM(REGEXREPLACE(R70 , ""US?ART(._(TX|RX))|."" , ""$1 "")  )"),"")</f>
        <v/>
      </c>
      <c r="O70" s="9" t="str">
        <f>IFERROR(__xludf.DUMMYFUNCTION("TRIM(REGEXREPLACE(Q70 , ""DAC(\d+_OUT\d+)|."" , ""$1 "")  )"),"")</f>
        <v/>
      </c>
      <c r="P70" s="9" t="str">
        <f>IFERROR(__xludf.DUMMYFUNCTION("TRIM(REGEXREPLACE(REGEXREPLACE(R70, "","", "" ""), ""(EVENTOUT|TRACECLK|TRACED.|SPI._[^ ]*|SAI._[^ ]*|ETH_[^ ]*|QUADSPI_[^ ]*|FMC_[^ ]*|UART._[^ ]*|FDCAN._[^ ]*|DFSDM._[^ ]*|OTG_[^ ]*|TIM\d+_[^ ]*)( |$)"", "" ""))"),"")</f>
        <v/>
      </c>
      <c r="Q70" s="12" t="s">
        <v>232</v>
      </c>
      <c r="R70" s="17" t="s">
        <v>233</v>
      </c>
    </row>
    <row r="71">
      <c r="A71" s="5">
        <v>41.0</v>
      </c>
      <c r="B71" s="5" t="s">
        <v>234</v>
      </c>
      <c r="D71" s="15">
        <f>IF(COUNTIF(ConnectorPins!$F$2:$F$999, B71) &gt; 0, MATCH(B71, ConnectorPins!$F$2:$F$999, 0), IF(COUNTIF(ConnectorPins!$I$2:$I$999, B71) &gt; 0, MATCH(B71, ConnectorPins!$I$2:$I$999, 0) + 35, ""))</f>
        <v>14</v>
      </c>
      <c r="E71" s="15" t="s">
        <v>235</v>
      </c>
      <c r="G71" s="9" t="str">
        <f>IFERROR(__xludf.DUMMYFUNCTION("TRIM(REGEXREPLACE(Q71 , ""ADC(\d+_(INN\d+|INP\d+)*)|."" , ""$1 "")  )"),"")</f>
        <v/>
      </c>
      <c r="I71" s="9" t="str">
        <f>IFERROR(__xludf.DUMMYFUNCTION("TRIM(REGEXREPLACE(R71 , ""SPI(._(MOSI|MISO|SCK))|."" , ""$1 "")  )"),"")</f>
        <v/>
      </c>
      <c r="J71" s="10" t="str">
        <f>IFERROR(__xludf.DUMMYFUNCTION("TRIM(REGEXREPLACE(R71 , ""FDCAN(._[\w_]+)|."" , ""$1 "")  )"),"")</f>
        <v/>
      </c>
      <c r="K71" s="16" t="str">
        <f>IFERROR(__xludf.DUMMYFUNCTION("TRIM(REGEXREPLACE(R71 , ""ETH_([\w_]+)|."" , ""$1 "")  )"),"")</f>
        <v/>
      </c>
      <c r="L71" s="9" t="str">
        <f>IFERROR(__xludf.DUMMYFUNCTION("TRIM(REGEXREPLACE(R71 , ""TIM(._\w+)|."" , ""$1 "")  )"),"1_CH2")</f>
        <v>1_CH2</v>
      </c>
      <c r="M71" s="11" t="str">
        <f>IFERROR(__xludf.DUMMYFUNCTION("TRIM(REGEXREPLACE(R71 , ""OTG_([\w_]+)|."" , ""$1 "") )"),"")</f>
        <v/>
      </c>
      <c r="N71" s="9" t="str">
        <f>IFERROR(__xludf.DUMMYFUNCTION("TRIM(REGEXREPLACE(R71 , ""US?ART(._(TX|RX))|."" , ""$1 "")  )"),"")</f>
        <v/>
      </c>
      <c r="O71" s="9" t="str">
        <f>IFERROR(__xludf.DUMMYFUNCTION("TRIM(REGEXREPLACE(Q71 , ""DAC(\d+_OUT\d+)|."" , ""$1 "")  )"),"")</f>
        <v/>
      </c>
      <c r="P71" s="9" t="str">
        <f>IFERROR(__xludf.DUMMYFUNCTION("TRIM(REGEXREPLACE(REGEXREPLACE(R71, "","", "" ""), ""(EVENTOUT|TRACECLK|TRACED.|SPI._[^ ]*|SAI._[^ ]*|ETH_[^ ]*|QUADSPI_[^ ]*|FMC_[^ ]*|UART._[^ ]*|FDCAN._[^ ]*|DFSDM._[^ ]*|OTG_[^ ]*|TIM\d+_[^ ]*)( |$)"", "" ""))"),"LCD_G3")</f>
        <v>LCD_G3</v>
      </c>
      <c r="Q71" s="12" t="s">
        <v>236</v>
      </c>
      <c r="R71" s="17" t="s">
        <v>237</v>
      </c>
    </row>
    <row r="72">
      <c r="A72" s="5">
        <v>42.0</v>
      </c>
      <c r="B72" s="5" t="s">
        <v>238</v>
      </c>
      <c r="C72" s="7"/>
      <c r="D72" s="15">
        <f>IF(COUNTIF(ConnectorPins!$F$2:$F$999, B72) &gt; 0, MATCH(B72, ConnectorPins!$F$2:$F$999, 0), IF(COUNTIF(ConnectorPins!$I$2:$I$999, B72) &gt; 0, MATCH(B72, ConnectorPins!$I$2:$I$999, 0) + 35, ""))</f>
        <v>15</v>
      </c>
      <c r="E72" s="15" t="s">
        <v>239</v>
      </c>
      <c r="F72" s="15" t="s">
        <v>240</v>
      </c>
      <c r="G72" s="9" t="str">
        <f>IFERROR(__xludf.DUMMYFUNCTION("TRIM(REGEXREPLACE(Q72 , ""ADC(\d+_(INN\d+|INP\d+)*)|."" , ""$1 "")  )"),"")</f>
        <v/>
      </c>
      <c r="I72" s="10" t="str">
        <f>IFERROR(__xludf.DUMMYFUNCTION("TRIM(REGEXREPLACE(R72 , ""SPI(._(MOSI|MISO|SCK))|."" , ""$1 "")  )"),"4_SCK")</f>
        <v>4_SCK</v>
      </c>
      <c r="J72" s="10" t="str">
        <f>IFERROR(__xludf.DUMMYFUNCTION("TRIM(REGEXREPLACE(R72 , ""FDCAN(._[\w_]+)|."" , ""$1 "")  )"),"")</f>
        <v/>
      </c>
      <c r="K72" s="16" t="str">
        <f>IFERROR(__xludf.DUMMYFUNCTION("TRIM(REGEXREPLACE(R72 , ""ETH_([\w_]+)|."" , ""$1 "")  )"),"")</f>
        <v/>
      </c>
      <c r="L72" s="10" t="str">
        <f>IFERROR(__xludf.DUMMYFUNCTION("TRIM(REGEXREPLACE(R72 , ""TIM(._\w+)|."" , ""$1 "")  )"),"1_CH3N")</f>
        <v>1_CH3N</v>
      </c>
      <c r="M72" s="11" t="str">
        <f>IFERROR(__xludf.DUMMYFUNCTION("TRIM(REGEXREPLACE(R72 , ""OTG_([\w_]+)|."" , ""$1 "") )"),"")</f>
        <v/>
      </c>
      <c r="N72" s="9" t="str">
        <f>IFERROR(__xludf.DUMMYFUNCTION("TRIM(REGEXREPLACE(R72 , ""US?ART(._(TX|RX))|."" , ""$1 "")  )"),"")</f>
        <v/>
      </c>
      <c r="O72" s="9" t="str">
        <f>IFERROR(__xludf.DUMMYFUNCTION("TRIM(REGEXREPLACE(Q72 , ""DAC(\d+_OUT\d+)|."" , ""$1 "")  )"),"")</f>
        <v/>
      </c>
      <c r="P72" s="9" t="str">
        <f>IFERROR(__xludf.DUMMYFUNCTION("TRIM(REGEXREPLACE(REGEXREPLACE(R72, "","", "" ""), ""(EVENTOUT|TRACECLK|TRACED.|SPI._[^ ]*|SAI._[^ ]*|ETH_[^ ]*|QUADSPI_[^ ]*|FMC_[^ ]*|UART._[^ ]*|FDCAN._[^ ]*|DFSDM._[^ ]*|OTG_[^ ]*|TIM\d+_[^ ]*)( |$)"", "" ""))"),"COMP1_OUT LCD_B4")</f>
        <v>COMP1_OUT LCD_B4</v>
      </c>
      <c r="Q72" s="14"/>
      <c r="R72" s="17" t="s">
        <v>241</v>
      </c>
    </row>
    <row r="73">
      <c r="A73" s="5">
        <v>43.0</v>
      </c>
      <c r="B73" s="5" t="s">
        <v>242</v>
      </c>
      <c r="C73" s="7"/>
      <c r="D73" s="15">
        <f>IF(COUNTIF(ConnectorPins!$F$2:$F$999, B73) &gt; 0, MATCH(B73, ConnectorPins!$F$2:$F$999, 0), IF(COUNTIF(ConnectorPins!$I$2:$I$999, B73) &gt; 0, MATCH(B73, ConnectorPins!$I$2:$I$999, 0) + 35, ""))</f>
        <v>16</v>
      </c>
      <c r="E73" s="15" t="s">
        <v>243</v>
      </c>
      <c r="F73" s="15" t="s">
        <v>244</v>
      </c>
      <c r="G73" s="9" t="str">
        <f>IFERROR(__xludf.DUMMYFUNCTION("TRIM(REGEXREPLACE(Q73 , ""ADC(\d+_(INN\d+|INP\d+)*)|."" , ""$1 "")  )"),"")</f>
        <v/>
      </c>
      <c r="I73" s="10" t="str">
        <f>IFERROR(__xludf.DUMMYFUNCTION("TRIM(REGEXREPLACE(R73 , ""SPI(._(MOSI|MISO|SCK))|."" , ""$1 "")  )"),"4_MISO")</f>
        <v>4_MISO</v>
      </c>
      <c r="J73" s="10" t="str">
        <f>IFERROR(__xludf.DUMMYFUNCTION("TRIM(REGEXREPLACE(R73 , ""FDCAN(._[\w_]+)|."" , ""$1 "")  )"),"")</f>
        <v/>
      </c>
      <c r="K73" s="16" t="str">
        <f>IFERROR(__xludf.DUMMYFUNCTION("TRIM(REGEXREPLACE(R73 , ""ETH_([\w_]+)|."" , ""$1 "")  )"),"")</f>
        <v/>
      </c>
      <c r="L73" s="10" t="str">
        <f>IFERROR(__xludf.DUMMYFUNCTION("TRIM(REGEXREPLACE(R73 , ""TIM(._\w+)|."" , ""$1 "")  )"),"1_CH3")</f>
        <v>1_CH3</v>
      </c>
      <c r="M73" s="11" t="str">
        <f>IFERROR(__xludf.DUMMYFUNCTION("TRIM(REGEXREPLACE(R73 , ""OTG_([\w_]+)|."" , ""$1 "") )"),"")</f>
        <v/>
      </c>
      <c r="N73" s="9" t="str">
        <f>IFERROR(__xludf.DUMMYFUNCTION("TRIM(REGEXREPLACE(R73 , ""US?ART(._(TX|RX))|."" , ""$1 "")  )"),"")</f>
        <v/>
      </c>
      <c r="O73" s="9" t="str">
        <f>IFERROR(__xludf.DUMMYFUNCTION("TRIM(REGEXREPLACE(Q73 , ""DAC(\d+_OUT\d+)|."" , ""$1 "")  )"),"")</f>
        <v/>
      </c>
      <c r="P73" s="9" t="str">
        <f>IFERROR(__xludf.DUMMYFUNCTION("TRIM(REGEXREPLACE(REGEXREPLACE(R73, "","", "" ""), ""(EVENTOUT|TRACECLK|TRACED.|SPI._[^ ]*|SAI._[^ ]*|ETH_[^ ]*|QUADSPI_[^ ]*|FMC_[^ ]*|UART._[^ ]*|FDCAN._[^ ]*|DFSDM._[^ ]*|OTG_[^ ]*|TIM\d+_[^ ]*)( |$)"", "" ""))"),"COMP2_OUT LCD_DE")</f>
        <v>COMP2_OUT LCD_DE</v>
      </c>
      <c r="Q73" s="14"/>
      <c r="R73" s="17" t="s">
        <v>245</v>
      </c>
    </row>
    <row r="74">
      <c r="A74" s="5">
        <v>44.0</v>
      </c>
      <c r="B74" s="5" t="s">
        <v>246</v>
      </c>
      <c r="C74" s="7"/>
      <c r="D74" s="15">
        <f>IF(COUNTIF(ConnectorPins!$F$2:$F$999, B74) &gt; 0, MATCH(B74, ConnectorPins!$F$2:$F$999, 0), IF(COUNTIF(ConnectorPins!$I$2:$I$999, B74) &gt; 0, MATCH(B74, ConnectorPins!$I$2:$I$999, 0) + 35, ""))</f>
        <v>17</v>
      </c>
      <c r="E74" s="15" t="s">
        <v>247</v>
      </c>
      <c r="F74" s="15" t="s">
        <v>248</v>
      </c>
      <c r="G74" s="9" t="str">
        <f>IFERROR(__xludf.DUMMYFUNCTION("TRIM(REGEXREPLACE(Q74 , ""ADC(\d+_(INN\d+|INP\d+)*)|."" , ""$1 "")  )"),"")</f>
        <v/>
      </c>
      <c r="I74" s="10" t="str">
        <f>IFERROR(__xludf.DUMMYFUNCTION("TRIM(REGEXREPLACE(R74 , ""SPI(._(MOSI|MISO|SCK))|."" , ""$1 "")  )"),"4_MOSI")</f>
        <v>4_MOSI</v>
      </c>
      <c r="J74" s="10" t="str">
        <f>IFERROR(__xludf.DUMMYFUNCTION("TRIM(REGEXREPLACE(R74 , ""FDCAN(._[\w_]+)|."" , ""$1 "")  )"),"")</f>
        <v/>
      </c>
      <c r="K74" s="16" t="str">
        <f>IFERROR(__xludf.DUMMYFUNCTION("TRIM(REGEXREPLACE(R74 , ""ETH_([\w_]+)|."" , ""$1 "")  )"),"")</f>
        <v/>
      </c>
      <c r="L74" s="10" t="str">
        <f>IFERROR(__xludf.DUMMYFUNCTION("TRIM(REGEXREPLACE(R74 , ""TIM(._\w+)|."" , ""$1 "")  )"),"1_CH4")</f>
        <v>1_CH4</v>
      </c>
      <c r="M74" s="11" t="str">
        <f>IFERROR(__xludf.DUMMYFUNCTION("TRIM(REGEXREPLACE(R74 , ""OTG_([\w_]+)|."" , ""$1 "") )"),"")</f>
        <v/>
      </c>
      <c r="N74" s="9" t="str">
        <f>IFERROR(__xludf.DUMMYFUNCTION("TRIM(REGEXREPLACE(R74 , ""US?ART(._(TX|RX))|."" , ""$1 "")  )"),"")</f>
        <v/>
      </c>
      <c r="O74" s="9" t="str">
        <f>IFERROR(__xludf.DUMMYFUNCTION("TRIM(REGEXREPLACE(Q74 , ""DAC(\d+_OUT\d+)|."" , ""$1 "")  )"),"")</f>
        <v/>
      </c>
      <c r="P74" s="9" t="str">
        <f>IFERROR(__xludf.DUMMYFUNCTION("TRIM(REGEXREPLACE(REGEXREPLACE(R74, "","", "" ""), ""(EVENTOUT|TRACECLK|TRACED.|SPI._[^ ]*|SAI._[^ ]*|ETH_[^ ]*|QUADSPI_[^ ]*|FMC_[^ ]*|UART._[^ ]*|FDCAN._[^ ]*|DFSDM._[^ ]*|OTG_[^ ]*|TIM\d+_[^ ]*)( |$)"", "" ""))"),"LCD_CLK")</f>
        <v>LCD_CLK</v>
      </c>
      <c r="Q74" s="14"/>
      <c r="R74" s="17" t="s">
        <v>249</v>
      </c>
    </row>
    <row r="75">
      <c r="A75" s="5">
        <v>45.0</v>
      </c>
      <c r="B75" s="5" t="s">
        <v>250</v>
      </c>
      <c r="D75" s="15" t="str">
        <f>IF(COUNTIF(ConnectorPins!$F$2:$F$999, B75) &gt; 0, MATCH(B75, ConnectorPins!$F$2:$F$999, 0), IF(COUNTIF(ConnectorPins!$I$2:$I$999, B75) &gt; 0, MATCH(B75, ConnectorPins!$I$2:$I$999, 0) + 35, ""))</f>
        <v/>
      </c>
      <c r="G75" s="9" t="str">
        <f>IFERROR(__xludf.DUMMYFUNCTION("TRIM(REGEXREPLACE(Q75 , ""ADC(\d+_(INN\d+|INP\d+)*)|."" , ""$1 "")  )"),"")</f>
        <v/>
      </c>
      <c r="I75" s="10" t="str">
        <f>IFERROR(__xludf.DUMMYFUNCTION("TRIM(REGEXREPLACE(R75 , ""SPI(._(MOSI|MISO|SCK))|."" , ""$1 "")  )"),"")</f>
        <v/>
      </c>
      <c r="J75" s="10" t="str">
        <f>IFERROR(__xludf.DUMMYFUNCTION("TRIM(REGEXREPLACE(R75 , ""FDCAN(._[\w_]+)|."" , ""$1 "")  )"),"")</f>
        <v/>
      </c>
      <c r="K75" s="16" t="str">
        <f>IFERROR(__xludf.DUMMYFUNCTION("TRIM(REGEXREPLACE(R75 , ""ETH_([\w_]+)|."" , ""$1 "")  )"),"")</f>
        <v/>
      </c>
      <c r="L75" s="9" t="str">
        <f>IFERROR(__xludf.DUMMYFUNCTION("TRIM(REGEXREPLACE(R75 , ""TIM(._\w+)|."" , ""$1 "")  )"),"1_BKIN 1_BKIN_COMP12 1_BKIN")</f>
        <v>1_BKIN 1_BKIN_COMP12 1_BKIN</v>
      </c>
      <c r="M75" s="11" t="str">
        <f>IFERROR(__xludf.DUMMYFUNCTION("TRIM(REGEXREPLACE(R75 , ""OTG_([\w_]+)|."" , ""$1 "") )"),"")</f>
        <v/>
      </c>
      <c r="N75" s="9" t="str">
        <f>IFERROR(__xludf.DUMMYFUNCTION("TRIM(REGEXREPLACE(R75 , ""US?ART(._(TX|RX))|."" , ""$1 "")  )"),"")</f>
        <v/>
      </c>
      <c r="O75" s="9" t="str">
        <f>IFERROR(__xludf.DUMMYFUNCTION("TRIM(REGEXREPLACE(Q75 , ""DAC(\d+_OUT\d+)|."" , ""$1 "")  )"),"")</f>
        <v/>
      </c>
      <c r="P75" s="9" t="str">
        <f>IFERROR(__xludf.DUMMYFUNCTION("TRIM(REGEXREPLACE(REGEXREPLACE(R75, "","", "" ""), ""(EVENTOUT|TRACECLK|TRACED.|SPI._[^ ]*|SAI._[^ ]*|ETH_[^ ]*|QUADSPI_[^ ]*|FMC_[^ ]*|UART._[^ ]*|FDCAN._[^ ]*|DFSDM._[^ ]*|OTG_[^ ]*|TIM\d+_[^ ]*)( |$)"", "" ""))"),"LCD_R7")</f>
        <v>LCD_R7</v>
      </c>
      <c r="Q75" s="14"/>
      <c r="R75" s="17" t="s">
        <v>251</v>
      </c>
    </row>
    <row r="76">
      <c r="A76" s="5">
        <v>1.0</v>
      </c>
      <c r="B76" s="5" t="s">
        <v>252</v>
      </c>
      <c r="C76" s="7"/>
      <c r="D76" s="15">
        <f>IF(COUNTIF(ConnectorPins!$F$2:$F$999, B76) &gt; 0, MATCH(B76, ConnectorPins!$F$2:$F$999, 0), IF(COUNTIF(ConnectorPins!$I$2:$I$999, B76) &gt; 0, MATCH(B76, ConnectorPins!$I$2:$I$999, 0) + 35, ""))</f>
        <v>6</v>
      </c>
      <c r="E76" s="15" t="s">
        <v>240</v>
      </c>
      <c r="G76" s="9" t="str">
        <f>IFERROR(__xludf.DUMMYFUNCTION("TRIM(REGEXREPLACE(Q76 , ""ADC(\d+_(INN\d+|INP\d+)*)|."" , ""$1 "")  )"),"")</f>
        <v/>
      </c>
      <c r="I76" s="10" t="str">
        <f>IFERROR(__xludf.DUMMYFUNCTION("TRIM(REGEXREPLACE(R76 , ""SPI(._(MOSI|MISO|SCK))|."" , ""$1 "")  )"),"4_SCK")</f>
        <v>4_SCK</v>
      </c>
      <c r="J76" s="10" t="str">
        <f>IFERROR(__xludf.DUMMYFUNCTION("TRIM(REGEXREPLACE(R76 , ""FDCAN(._[\w_]+)|."" , ""$1 "")  )"),"")</f>
        <v/>
      </c>
      <c r="K76" s="16" t="str">
        <f>IFERROR(__xludf.DUMMYFUNCTION("TRIM(REGEXREPLACE(R76 , ""ETH_([\w_]+)|."" , ""$1 "")  )"),"MII_TXD3")</f>
        <v>MII_TXD3</v>
      </c>
      <c r="L76" s="10" t="str">
        <f>IFERROR(__xludf.DUMMYFUNCTION("TRIM(REGEXREPLACE(R76 , ""TIM(._\w+)|."" , ""$1 "")  )"),"")</f>
        <v/>
      </c>
      <c r="M76" s="11" t="str">
        <f>IFERROR(__xludf.DUMMYFUNCTION("TRIM(REGEXREPLACE(R76 , ""OTG_([\w_]+)|."" , ""$1 "") )"),"")</f>
        <v/>
      </c>
      <c r="N76" s="9" t="str">
        <f>IFERROR(__xludf.DUMMYFUNCTION("TRIM(REGEXREPLACE(R76 , ""US?ART(._(TX|RX))|."" , ""$1 "")  )"),"")</f>
        <v/>
      </c>
      <c r="O76" s="9" t="str">
        <f>IFERROR(__xludf.DUMMYFUNCTION("TRIM(REGEXREPLACE(Q76 , ""DAC(\d+_OUT\d+)|."" , ""$1 "")  )"),"")</f>
        <v/>
      </c>
      <c r="P76" s="9" t="str">
        <f>IFERROR(__xludf.DUMMYFUNCTION("TRIM(REGEXREPLACE(REGEXREPLACE(R76, "","", "" ""), ""(EVENTOUT|TRACECLK|TRACED.|SPI._[^ ]*|SAI._[^ ]*|ETH_[^ ]*|QUADSPI_[^ ]*|FMC_[^ ]*|UART._[^ ]*|FDCAN._[^ ]*|DFSDM._[^ ]*|OTG_[^ ]*|TIM\d+_[^ ]*)( |$)"", "" ""))"),"")</f>
        <v/>
      </c>
      <c r="Q76" s="14"/>
      <c r="R76" s="17" t="s">
        <v>253</v>
      </c>
    </row>
    <row r="77">
      <c r="A77" s="5">
        <v>2.0</v>
      </c>
      <c r="B77" s="5" t="s">
        <v>254</v>
      </c>
      <c r="C77" s="15" t="s">
        <v>147</v>
      </c>
      <c r="D77" s="15" t="str">
        <f>IF(COUNTIF(ConnectorPins!$F$2:$F$999, B77) &gt; 0, MATCH(B77, ConnectorPins!$F$2:$F$999, 0), IF(COUNTIF(ConnectorPins!$I$2:$I$999, B77) &gt; 0, MATCH(B77, ConnectorPins!$I$2:$I$999, 0) + 35, ""))</f>
        <v/>
      </c>
      <c r="G77" s="9" t="str">
        <f>IFERROR(__xludf.DUMMYFUNCTION("TRIM(REGEXREPLACE(Q77 , ""ADC(\d+_(INN\d+|INP\d+)*)|."" , ""$1 "")  )"),"")</f>
        <v/>
      </c>
      <c r="H77" s="15" t="s">
        <v>255</v>
      </c>
      <c r="I77" s="10" t="str">
        <f>IFERROR(__xludf.DUMMYFUNCTION("TRIM(REGEXREPLACE(R77 , ""SPI(._(MOSI|MISO|SCK))|."" , ""$1 "")  )"),"")</f>
        <v/>
      </c>
      <c r="J77" s="10" t="str">
        <f>IFERROR(__xludf.DUMMYFUNCTION("TRIM(REGEXREPLACE(R77 , ""FDCAN(._[\w_]+)|."" , ""$1 "")  )"),"")</f>
        <v/>
      </c>
      <c r="K77" s="16" t="str">
        <f>IFERROR(__xludf.DUMMYFUNCTION("TRIM(REGEXREPLACE(R77 , ""ETH_([\w_]+)|."" , ""$1 "")  )"),"")</f>
        <v/>
      </c>
      <c r="L77" s="9" t="str">
        <f>IFERROR(__xludf.DUMMYFUNCTION("TRIM(REGEXREPLACE(R77 , ""TIM(._\w+)|."" , ""$1 "")  )"),"")</f>
        <v/>
      </c>
      <c r="M77" s="11" t="str">
        <f>IFERROR(__xludf.DUMMYFUNCTION("TRIM(REGEXREPLACE(R77 , ""OTG_([\w_]+)|."" , ""$1 "") )"),"")</f>
        <v/>
      </c>
      <c r="N77" s="9" t="str">
        <f>IFERROR(__xludf.DUMMYFUNCTION("TRIM(REGEXREPLACE(R77 , ""US?ART(._(TX|RX))|."" , ""$1 "")  )"),"")</f>
        <v/>
      </c>
      <c r="O77" s="9" t="str">
        <f>IFERROR(__xludf.DUMMYFUNCTION("TRIM(REGEXREPLACE(Q77 , ""DAC(\d+_OUT\d+)|."" , ""$1 "")  )"),"")</f>
        <v/>
      </c>
      <c r="P77" s="9" t="str">
        <f>IFERROR(__xludf.DUMMYFUNCTION("TRIM(REGEXREPLACE(REGEXREPLACE(R77, "","", "" ""), ""(EVENTOUT|TRACECLK|TRACED.|SPI._[^ ]*|SAI._[^ ]*|ETH_[^ ]*|QUADSPI_[^ ]*|FMC_[^ ]*|UART._[^ ]*|FDCAN._[^ ]*|DFSDM._[^ ]*|OTG_[^ ]*|TIM\d+_[^ ]*)( |$)"", "" ""))"),"")</f>
        <v/>
      </c>
      <c r="Q77" s="14"/>
      <c r="R77" s="17" t="s">
        <v>256</v>
      </c>
    </row>
    <row r="78">
      <c r="A78" s="5">
        <v>3.0</v>
      </c>
      <c r="B78" s="5" t="s">
        <v>257</v>
      </c>
      <c r="C78" s="15" t="s">
        <v>147</v>
      </c>
      <c r="D78" s="15" t="str">
        <f>IF(COUNTIF(ConnectorPins!$F$2:$F$999, B78) &gt; 0, MATCH(B78, ConnectorPins!$F$2:$F$999, 0), IF(COUNTIF(ConnectorPins!$I$2:$I$999, B78) &gt; 0, MATCH(B78, ConnectorPins!$I$2:$I$999, 0) + 35, ""))</f>
        <v/>
      </c>
      <c r="G78" s="9" t="str">
        <f>IFERROR(__xludf.DUMMYFUNCTION("TRIM(REGEXREPLACE(Q78 , ""ADC(\d+_(INN\d+|INP\d+)*)|."" , ""$1 "")  )"),"")</f>
        <v/>
      </c>
      <c r="H78" s="15" t="s">
        <v>258</v>
      </c>
      <c r="I78" s="10" t="str">
        <f>IFERROR(__xludf.DUMMYFUNCTION("TRIM(REGEXREPLACE(R78 , ""SPI(._(MOSI|MISO|SCK))|."" , ""$1 "")  )"),"")</f>
        <v/>
      </c>
      <c r="J78" s="10" t="str">
        <f>IFERROR(__xludf.DUMMYFUNCTION("TRIM(REGEXREPLACE(R78 , ""FDCAN(._[\w_]+)|."" , ""$1 "")  )"),"")</f>
        <v/>
      </c>
      <c r="K78" s="11" t="str">
        <f>IFERROR(__xludf.DUMMYFUNCTION("TRIM(REGEXREPLACE(R78 , ""ETH_([\w_]+)|."" , ""$1 "")  )"),"")</f>
        <v/>
      </c>
      <c r="L78" s="9" t="str">
        <f>IFERROR(__xludf.DUMMYFUNCTION("TRIM(REGEXREPLACE(R78 , ""TIM(._\w+)|."" , ""$1 "")  )"),"")</f>
        <v/>
      </c>
      <c r="M78" s="11" t="str">
        <f>IFERROR(__xludf.DUMMYFUNCTION("TRIM(REGEXREPLACE(R78 , ""OTG_([\w_]+)|."" , ""$1 "") )"),"")</f>
        <v/>
      </c>
      <c r="N78" s="9" t="str">
        <f>IFERROR(__xludf.DUMMYFUNCTION("TRIM(REGEXREPLACE(R78 , ""US?ART(._(TX|RX))|."" , ""$1 "")  )"),"")</f>
        <v/>
      </c>
      <c r="O78" s="9" t="str">
        <f>IFERROR(__xludf.DUMMYFUNCTION("TRIM(REGEXREPLACE(Q78 , ""DAC(\d+_OUT\d+)|."" , ""$1 "")  )"),"")</f>
        <v/>
      </c>
      <c r="P78" s="9" t="str">
        <f>IFERROR(__xludf.DUMMYFUNCTION("TRIM(REGEXREPLACE(REGEXREPLACE(R78, "","", "" ""), ""(EVENTOUT|TRACECLK|TRACED.|SPI._[^ ]*|SAI._[^ ]*|ETH_[^ ]*|QUADSPI_[^ ]*|FMC_[^ ]*|UART._[^ ]*|FDCAN._[^ ]*|DFSDM._[^ ]*|OTG_[^ ]*|TIM\d+_[^ ]*)( |$)"", "" ""))"),"DCMI_D4 LCD_B0")</f>
        <v>DCMI_D4 LCD_B0</v>
      </c>
      <c r="Q78" s="14"/>
      <c r="R78" s="17" t="s">
        <v>259</v>
      </c>
    </row>
    <row r="79">
      <c r="A79" s="5">
        <v>4.0</v>
      </c>
      <c r="B79" s="5" t="s">
        <v>260</v>
      </c>
      <c r="C79" s="7"/>
      <c r="D79" s="15">
        <f>IF(COUNTIF(ConnectorPins!$F$2:$F$999, B79) &gt; 0, MATCH(B79, ConnectorPins!$F$2:$F$999, 0), IF(COUNTIF(ConnectorPins!$I$2:$I$999, B79) &gt; 0, MATCH(B79, ConnectorPins!$I$2:$I$999, 0) + 35, ""))</f>
        <v>7</v>
      </c>
      <c r="E79" s="15" t="s">
        <v>244</v>
      </c>
      <c r="G79" s="9" t="str">
        <f>IFERROR(__xludf.DUMMYFUNCTION("TRIM(REGEXREPLACE(Q79 , ""ADC(\d+_(INN\d+|INP\d+)*)|."" , ""$1 "")  )"),"")</f>
        <v/>
      </c>
      <c r="I79" s="10" t="str">
        <f>IFERROR(__xludf.DUMMYFUNCTION("TRIM(REGEXREPLACE(R79 , ""SPI(._(MOSI|MISO|SCK))|."" , ""$1 "")  )"),"4_MISO")</f>
        <v>4_MISO</v>
      </c>
      <c r="J79" s="10" t="str">
        <f>IFERROR(__xludf.DUMMYFUNCTION("TRIM(REGEXREPLACE(R79 , ""FDCAN(._[\w_]+)|."" , ""$1 "")  )"),"")</f>
        <v/>
      </c>
      <c r="K79" s="11" t="str">
        <f>IFERROR(__xludf.DUMMYFUNCTION("TRIM(REGEXREPLACE(R79 , ""ETH_([\w_]+)|."" , ""$1 "")  )"),"")</f>
        <v/>
      </c>
      <c r="L79" s="9" t="str">
        <f>IFERROR(__xludf.DUMMYFUNCTION("TRIM(REGEXREPLACE(R79 , ""TIM(._\w+)|."" , ""$1 "")  )"),"")</f>
        <v/>
      </c>
      <c r="M79" s="11" t="str">
        <f>IFERROR(__xludf.DUMMYFUNCTION("TRIM(REGEXREPLACE(R79 , ""OTG_([\w_]+)|."" , ""$1 "") )"),"")</f>
        <v/>
      </c>
      <c r="N79" s="9" t="str">
        <f>IFERROR(__xludf.DUMMYFUNCTION("TRIM(REGEXREPLACE(R79 , ""US?ART(._(TX|RX))|."" , ""$1 "")  )"),"")</f>
        <v/>
      </c>
      <c r="O79" s="9" t="str">
        <f>IFERROR(__xludf.DUMMYFUNCTION("TRIM(REGEXREPLACE(Q79 , ""DAC(\d+_OUT\d+)|."" , ""$1 "")  )"),"")</f>
        <v/>
      </c>
      <c r="P79" s="9" t="str">
        <f>IFERROR(__xludf.DUMMYFUNCTION("TRIM(REGEXREPLACE(REGEXREPLACE(R79, "","", "" ""), ""(EVENTOUT|TRACECLK|TRACED.|SPI._[^ ]*|SAI._[^ ]*|ETH_[^ ]*|QUADSPI_[^ ]*|FMC_[^ ]*|UART._[^ ]*|FDCAN._[^ ]*|DFSDM._[^ ]*|OTG_[^ ]*|TIM\d+_[^ ]*)( |$)"", "" ""))"),"DCMI_D6 LCD_G0")</f>
        <v>DCMI_D6 LCD_G0</v>
      </c>
      <c r="Q79" s="14"/>
      <c r="R79" s="17" t="s">
        <v>261</v>
      </c>
    </row>
    <row r="80">
      <c r="A80" s="5">
        <v>5.0</v>
      </c>
      <c r="B80" s="5" t="s">
        <v>262</v>
      </c>
      <c r="C80" s="7"/>
      <c r="D80" s="15">
        <f>IF(COUNTIF(ConnectorPins!$F$2:$F$999, B80) &gt; 0, MATCH(B80, ConnectorPins!$F$2:$F$999, 0), IF(COUNTIF(ConnectorPins!$I$2:$I$999, B80) &gt; 0, MATCH(B80, ConnectorPins!$I$2:$I$999, 0) + 35, ""))</f>
        <v>8</v>
      </c>
      <c r="E80" s="15" t="s">
        <v>248</v>
      </c>
      <c r="G80" s="9" t="str">
        <f>IFERROR(__xludf.DUMMYFUNCTION("TRIM(REGEXREPLACE(Q80 , ""ADC(\d+_(INN\d+|INP\d+)*)|."" , ""$1 "")  )"),"")</f>
        <v/>
      </c>
      <c r="I80" s="10" t="str">
        <f>IFERROR(__xludf.DUMMYFUNCTION("TRIM(REGEXREPLACE(R80 , ""SPI(._(MOSI|MISO|SCK))|."" , ""$1 "")  )"),"4_MOSI")</f>
        <v>4_MOSI</v>
      </c>
      <c r="J80" s="10" t="str">
        <f>IFERROR(__xludf.DUMMYFUNCTION("TRIM(REGEXREPLACE(R80 , ""FDCAN(._[\w_]+)|."" , ""$1 "")  )"),"")</f>
        <v/>
      </c>
      <c r="K80" s="11" t="str">
        <f>IFERROR(__xludf.DUMMYFUNCTION("TRIM(REGEXREPLACE(R80 , ""ETH_([\w_]+)|."" , ""$1 "")  )"),"")</f>
        <v/>
      </c>
      <c r="L80" s="10" t="str">
        <f>IFERROR(__xludf.DUMMYFUNCTION("TRIM(REGEXREPLACE(R80 , ""TIM(._\w+)|."" , ""$1 "")  )"),"1_BKIN2 1_BKIN2_COMP12")</f>
        <v>1_BKIN2 1_BKIN2_COMP12</v>
      </c>
      <c r="M80" s="11" t="str">
        <f>IFERROR(__xludf.DUMMYFUNCTION("TRIM(REGEXREPLACE(R80 , ""OTG_([\w_]+)|."" , ""$1 "") )"),"")</f>
        <v/>
      </c>
      <c r="N80" s="9" t="str">
        <f>IFERROR(__xludf.DUMMYFUNCTION("TRIM(REGEXREPLACE(R80 , ""US?ART(._(TX|RX))|."" , ""$1 "")  )"),"")</f>
        <v/>
      </c>
      <c r="O80" s="9" t="str">
        <f>IFERROR(__xludf.DUMMYFUNCTION("TRIM(REGEXREPLACE(Q80 , ""DAC(\d+_OUT\d+)|."" , ""$1 "")  )"),"")</f>
        <v/>
      </c>
      <c r="P80" s="9" t="str">
        <f>IFERROR(__xludf.DUMMYFUNCTION("TRIM(REGEXREPLACE(REGEXREPLACE(R80, "","", "" ""), ""(EVENTOUT|TRACECLK|TRACED.|SPI._[^ ]*|SAI._[^ ]*|ETH_[^ ]*|QUADSPI_[^ ]*|FMC_[^ ]*|UART._[^ ]*|FDCAN._[^ ]*|DFSDM._[^ ]*|OTG_[^ ]*|TIM\d+_[^ ]*)( |$)"", "" ""))"),"DCMI_D7 LCD_G1")</f>
        <v>DCMI_D7 LCD_G1</v>
      </c>
      <c r="Q80" s="14"/>
      <c r="R80" s="17" t="s">
        <v>263</v>
      </c>
    </row>
    <row r="81">
      <c r="A81" s="5">
        <v>37.0</v>
      </c>
      <c r="B81" s="5" t="s">
        <v>264</v>
      </c>
      <c r="D81" s="15">
        <f>IF(COUNTIF(ConnectorPins!$F$2:$F$999, B81) &gt; 0, MATCH(B81, ConnectorPins!$F$2:$F$999, 0), IF(COUNTIF(ConnectorPins!$I$2:$I$999, B81) &gt; 0, MATCH(B81, ConnectorPins!$I$2:$I$999, 0) + 35, ""))</f>
        <v>10</v>
      </c>
      <c r="F81" s="15" t="s">
        <v>265</v>
      </c>
      <c r="G81" s="9" t="str">
        <f>IFERROR(__xludf.DUMMYFUNCTION("TRIM(REGEXREPLACE(Q81 , ""ADC(\d+_(INN\d+|INP\d+)*)|."" , ""$1 "")  )"),"")</f>
        <v/>
      </c>
      <c r="I81" s="9" t="str">
        <f>IFERROR(__xludf.DUMMYFUNCTION("TRIM(REGEXREPLACE(R81 , ""SPI(._(MOSI|MISO|SCK))|."" , ""$1 "")  )"),"")</f>
        <v/>
      </c>
      <c r="J81" s="10" t="str">
        <f>IFERROR(__xludf.DUMMYFUNCTION("TRIM(REGEXREPLACE(R81 , ""FDCAN(._[\w_]+)|."" , ""$1 "")  )"),"")</f>
        <v/>
      </c>
      <c r="K81" s="11" t="str">
        <f>IFERROR(__xludf.DUMMYFUNCTION("TRIM(REGEXREPLACE(R81 , ""ETH_([\w_]+)|."" , ""$1 "")  )"),"")</f>
        <v/>
      </c>
      <c r="L81" s="9" t="str">
        <f>IFERROR(__xludf.DUMMYFUNCTION("TRIM(REGEXREPLACE(R81 , ""TIM(._\w+)|."" , ""$1 "")  )"),"1_ETR")</f>
        <v>1_ETR</v>
      </c>
      <c r="M81" s="11" t="str">
        <f>IFERROR(__xludf.DUMMYFUNCTION("TRIM(REGEXREPLACE(R81 , ""OTG_([\w_]+)|."" , ""$1 "") )"),"")</f>
        <v/>
      </c>
      <c r="N81" s="10" t="str">
        <f>IFERROR(__xludf.DUMMYFUNCTION("TRIM(REGEXREPLACE(R81 , ""US?ART(._(TX|RX))|."" , ""$1 "")  )"),"7_RX")</f>
        <v>7_RX</v>
      </c>
      <c r="O81" s="9" t="str">
        <f>IFERROR(__xludf.DUMMYFUNCTION("TRIM(REGEXREPLACE(Q81 , ""DAC(\d+_OUT\d+)|."" , ""$1 "")  )"),"")</f>
        <v/>
      </c>
      <c r="P81" s="9" t="str">
        <f>IFERROR(__xludf.DUMMYFUNCTION("TRIM(REGEXREPLACE(REGEXREPLACE(R81, "","", "" ""), ""(EVENTOUT|TRACECLK|TRACED.|SPI._[^ ]*|SAI._[^ ]*|ETH_[^ ]*|QUADSPI_[^ ]*|FMC_[^ ]*|UART._[^ ]*|FDCAN._[^ ]*|DFSDM._[^ ]*|OTG_[^ ]*|TIM\d+_[^ ]*)( |$)"", "" ""))"),"")</f>
        <v/>
      </c>
      <c r="Q81" s="12" t="s">
        <v>266</v>
      </c>
      <c r="R81" s="17" t="s">
        <v>267</v>
      </c>
    </row>
    <row r="82">
      <c r="A82" s="5">
        <v>38.0</v>
      </c>
      <c r="B82" s="5" t="s">
        <v>268</v>
      </c>
      <c r="D82" s="15">
        <f>IF(COUNTIF(ConnectorPins!$F$2:$F$999, B82) &gt; 0, MATCH(B82, ConnectorPins!$F$2:$F$999, 0), IF(COUNTIF(ConnectorPins!$I$2:$I$999, B82) &gt; 0, MATCH(B82, ConnectorPins!$I$2:$I$999, 0) + 35, ""))</f>
        <v>11</v>
      </c>
      <c r="E82" s="24" t="s">
        <v>269</v>
      </c>
      <c r="F82" s="15" t="s">
        <v>270</v>
      </c>
      <c r="G82" s="9" t="str">
        <f>IFERROR(__xludf.DUMMYFUNCTION("TRIM(REGEXREPLACE(Q82 , ""ADC(\d+_(INN\d+|INP\d+)*)|."" , ""$1 "")  )"),"")</f>
        <v/>
      </c>
      <c r="I82" s="9" t="str">
        <f>IFERROR(__xludf.DUMMYFUNCTION("TRIM(REGEXREPLACE(R82 , ""SPI(._(MOSI|MISO|SCK))|."" , ""$1 "")  )"),"")</f>
        <v/>
      </c>
      <c r="J82" s="10" t="str">
        <f>IFERROR(__xludf.DUMMYFUNCTION("TRIM(REGEXREPLACE(R82 , ""FDCAN(._[\w_]+)|."" , ""$1 "")  )"),"")</f>
        <v/>
      </c>
      <c r="K82" s="11" t="str">
        <f>IFERROR(__xludf.DUMMYFUNCTION("TRIM(REGEXREPLACE(R82 , ""ETH_([\w_]+)|."" , ""$1 "")  )"),"")</f>
        <v/>
      </c>
      <c r="L82" s="9" t="str">
        <f>IFERROR(__xludf.DUMMYFUNCTION("TRIM(REGEXREPLACE(R82 , ""TIM(._\w+)|."" , ""$1 "")  )"),"1_CH1N")</f>
        <v>1_CH1N</v>
      </c>
      <c r="M82" s="11" t="str">
        <f>IFERROR(__xludf.DUMMYFUNCTION("TRIM(REGEXREPLACE(R82 , ""OTG_([\w_]+)|."" , ""$1 "") )"),"")</f>
        <v/>
      </c>
      <c r="N82" s="10" t="str">
        <f>IFERROR(__xludf.DUMMYFUNCTION("TRIM(REGEXREPLACE(R82 , ""US?ART(._(TX|RX))|."" , ""$1 "")  )"),"7_TX")</f>
        <v>7_TX</v>
      </c>
      <c r="O82" s="9" t="str">
        <f>IFERROR(__xludf.DUMMYFUNCTION("TRIM(REGEXREPLACE(Q82 , ""DAC(\d+_OUT\d+)|."" , ""$1 "")  )"),"")</f>
        <v/>
      </c>
      <c r="P82" s="9" t="str">
        <f>IFERROR(__xludf.DUMMYFUNCTION("TRIM(REGEXREPLACE(REGEXREPLACE(R82, "","", "" ""), ""(EVENTOUT|TRACECLK|TRACED.|SPI._[^ ]*|SAI._[^ ]*|ETH_[^ ]*|QUADSPI_[^ ]*|FMC_[^ ]*|UART._[^ ]*|FDCAN._[^ ]*|DFSDM._[^ ]*|OTG_[^ ]*|TIM\d+_[^ ]*)( |$)"", "" ""))"),"COMP2_OUT")</f>
        <v>COMP2_OUT</v>
      </c>
      <c r="Q82" s="12" t="s">
        <v>271</v>
      </c>
      <c r="R82" s="17" t="s">
        <v>272</v>
      </c>
    </row>
    <row r="83">
      <c r="A83" s="5">
        <v>39.0</v>
      </c>
      <c r="B83" s="5" t="s">
        <v>273</v>
      </c>
      <c r="D83" s="15">
        <f>IF(COUNTIF(ConnectorPins!$F$2:$F$999, B83) &gt; 0, MATCH(B83, ConnectorPins!$F$2:$F$999, 0), IF(COUNTIF(ConnectorPins!$I$2:$I$999, B83) &gt; 0, MATCH(B83, ConnectorPins!$I$2:$I$999, 0) + 35, ""))</f>
        <v>12</v>
      </c>
      <c r="E83" s="15" t="s">
        <v>274</v>
      </c>
      <c r="G83" s="9" t="str">
        <f>IFERROR(__xludf.DUMMYFUNCTION("TRIM(REGEXREPLACE(Q83 , ""ADC(\d+_(INN\d+|INP\d+)*)|."" , ""$1 "")  )"),"")</f>
        <v/>
      </c>
      <c r="I83" s="9" t="str">
        <f>IFERROR(__xludf.DUMMYFUNCTION("TRIM(REGEXREPLACE(R83 , ""SPI(._(MOSI|MISO|SCK))|."" , ""$1 "")  )"),"")</f>
        <v/>
      </c>
      <c r="J83" s="10" t="str">
        <f>IFERROR(__xludf.DUMMYFUNCTION("TRIM(REGEXREPLACE(R83 , ""FDCAN(._[\w_]+)|."" , ""$1 "")  )"),"")</f>
        <v/>
      </c>
      <c r="K83" s="11" t="str">
        <f>IFERROR(__xludf.DUMMYFUNCTION("TRIM(REGEXREPLACE(R83 , ""ETH_([\w_]+)|."" , ""$1 "")  )"),"")</f>
        <v/>
      </c>
      <c r="L83" s="9" t="str">
        <f>IFERROR(__xludf.DUMMYFUNCTION("TRIM(REGEXREPLACE(R83 , ""TIM(._\w+)|."" , ""$1 "")  )"),"1_CH1")</f>
        <v>1_CH1</v>
      </c>
      <c r="M83" s="11" t="str">
        <f>IFERROR(__xludf.DUMMYFUNCTION("TRIM(REGEXREPLACE(R83 , ""OTG_([\w_]+)|."" , ""$1 "") )"),"")</f>
        <v/>
      </c>
      <c r="N83" s="9" t="str">
        <f>IFERROR(__xludf.DUMMYFUNCTION("TRIM(REGEXREPLACE(R83 , ""US?ART(._(TX|RX))|."" , ""$1 "")  )"),"")</f>
        <v/>
      </c>
      <c r="O83" s="9" t="str">
        <f>IFERROR(__xludf.DUMMYFUNCTION("TRIM(REGEXREPLACE(Q83 , ""DAC(\d+_OUT\d+)|."" , ""$1 "")  )"),"")</f>
        <v/>
      </c>
      <c r="P83" s="9" t="str">
        <f>IFERROR(__xludf.DUMMYFUNCTION("TRIM(REGEXREPLACE(REGEXREPLACE(R83, "","", "" ""), ""(EVENTOUT|TRACECLK|TRACED.|SPI._[^ ]*|SAI._[^ ]*|ETH_[^ ]*|QUADSPI_[^ ]*|FMC_[^ ]*|UART._[^ ]*|FDCAN._[^ ]*|DFSDM._[^ ]*|OTG_[^ ]*|TIM\d+_[^ ]*)( |$)"", "" ""))"),"")</f>
        <v/>
      </c>
      <c r="Q83" s="12" t="s">
        <v>275</v>
      </c>
      <c r="R83" s="17" t="s">
        <v>276</v>
      </c>
    </row>
    <row r="84">
      <c r="A84" s="5">
        <v>12.0</v>
      </c>
      <c r="B84" s="5" t="s">
        <v>277</v>
      </c>
      <c r="C84" s="7"/>
      <c r="D84" s="8" t="str">
        <f>IF(COUNTIF(ConnectorPins!$F$2:$F$999, B84) &gt; 0, MATCH(B84, ConnectorPins!$F$2:$F$999, 0), IF(COUNTIF(ConnectorPins!$I$2:$I$999, B84) &gt; 0, MATCH(B84, ConnectorPins!$I$2:$I$999, 0) + 35, ""))</f>
        <v/>
      </c>
      <c r="E84" s="7"/>
      <c r="F84" s="7"/>
      <c r="G84" s="9" t="str">
        <f>IFERROR(__xludf.DUMMYFUNCTION("TRIM(REGEXREPLACE(Q84 , ""ADC(\d+_(INN\d+|INP\d+)*)|."" , ""$1 "")  )"),"")</f>
        <v/>
      </c>
      <c r="I84" s="9" t="str">
        <f>IFERROR(__xludf.DUMMYFUNCTION("TRIM(REGEXREPLACE(R84 , ""SPI(._(MOSI|MISO|SCK))|."" , ""$1 "")  )"),"")</f>
        <v/>
      </c>
      <c r="J84" s="10" t="str">
        <f>IFERROR(__xludf.DUMMYFUNCTION("TRIM(REGEXREPLACE(R84 , ""FDCAN(._[\w_]+)|."" , ""$1 "")  )"),"")</f>
        <v/>
      </c>
      <c r="K84" s="11" t="str">
        <f>IFERROR(__xludf.DUMMYFUNCTION("TRIM(REGEXREPLACE(R84 , ""ETH_([\w_]+)|."" , ""$1 "")  )"),"")</f>
        <v/>
      </c>
      <c r="L84" s="9" t="str">
        <f>IFERROR(__xludf.DUMMYFUNCTION("TRIM(REGEXREPLACE(R84 , ""TIM(._\w+)|."" , ""$1 "")  )"),"")</f>
        <v/>
      </c>
      <c r="M84" s="11" t="str">
        <f>IFERROR(__xludf.DUMMYFUNCTION("TRIM(REGEXREPLACE(R84 , ""OTG_([\w_]+)|."" , ""$1 "") )"),"")</f>
        <v/>
      </c>
      <c r="N84" s="9" t="str">
        <f>IFERROR(__xludf.DUMMYFUNCTION("TRIM(REGEXREPLACE(R84 , ""US?ART(._(TX|RX))|."" , ""$1 "")  )"),"")</f>
        <v/>
      </c>
      <c r="O84" s="9" t="str">
        <f>IFERROR(__xludf.DUMMYFUNCTION("TRIM(REGEXREPLACE(Q84 , ""DAC(\d+_OUT\d+)|."" , ""$1 "")  )"),"")</f>
        <v/>
      </c>
      <c r="P84" s="9" t="str">
        <f>IFERROR(__xludf.DUMMYFUNCTION("TRIM(REGEXREPLACE(REGEXREPLACE(R84, "","", "" ""), ""(EVENTOUT|TRACECLK|TRACED.|SPI._[^ ]*|SAI._[^ ]*|ETH_[^ ]*|QUADSPI_[^ ]*|FMC_[^ ]*|UART._[^ ]*|FDCAN._[^ ]*|DFSDM._[^ ]*|OTG_[^ ]*|TIM\d+_[^ ]*)( |$)"", "" ""))"),"")</f>
        <v/>
      </c>
      <c r="Q84" s="12" t="s">
        <v>278</v>
      </c>
      <c r="R84" s="17" t="s">
        <v>150</v>
      </c>
    </row>
    <row r="85">
      <c r="A85" s="5">
        <v>13.0</v>
      </c>
      <c r="B85" s="5" t="s">
        <v>279</v>
      </c>
      <c r="C85" s="7"/>
      <c r="D85" s="8" t="str">
        <f>IF(COUNTIF(ConnectorPins!$F$2:$F$999, B85) &gt; 0, MATCH(B85, ConnectorPins!$F$2:$F$999, 0), IF(COUNTIF(ConnectorPins!$I$2:$I$999, B85) &gt; 0, MATCH(B85, ConnectorPins!$I$2:$I$999, 0) + 35, ""))</f>
        <v/>
      </c>
      <c r="E85" s="7"/>
      <c r="F85" s="7"/>
      <c r="G85" s="9" t="str">
        <f>IFERROR(__xludf.DUMMYFUNCTION("TRIM(REGEXREPLACE(Q85 , ""ADC(\d+_(INN\d+|INP\d+)*)|."" , ""$1 "")  )"),"")</f>
        <v/>
      </c>
      <c r="I85" s="9" t="str">
        <f>IFERROR(__xludf.DUMMYFUNCTION("TRIM(REGEXREPLACE(R85 , ""SPI(._(MOSI|MISO|SCK))|."" , ""$1 "")  )"),"")</f>
        <v/>
      </c>
      <c r="J85" s="10" t="str">
        <f>IFERROR(__xludf.DUMMYFUNCTION("TRIM(REGEXREPLACE(R85 , ""FDCAN(._[\w_]+)|."" , ""$1 "")  )"),"")</f>
        <v/>
      </c>
      <c r="K85" s="11" t="str">
        <f>IFERROR(__xludf.DUMMYFUNCTION("TRIM(REGEXREPLACE(R85 , ""ETH_([\w_]+)|."" , ""$1 "")  )"),"")</f>
        <v/>
      </c>
      <c r="L85" s="9" t="str">
        <f>IFERROR(__xludf.DUMMYFUNCTION("TRIM(REGEXREPLACE(R85 , ""TIM(._\w+)|."" , ""$1 "")  )"),"")</f>
        <v/>
      </c>
      <c r="M85" s="11" t="str">
        <f>IFERROR(__xludf.DUMMYFUNCTION("TRIM(REGEXREPLACE(R85 , ""OTG_([\w_]+)|."" , ""$1 "") )"),"")</f>
        <v/>
      </c>
      <c r="N85" s="9" t="str">
        <f>IFERROR(__xludf.DUMMYFUNCTION("TRIM(REGEXREPLACE(R85 , ""US?ART(._(TX|RX))|."" , ""$1 "")  )"),"")</f>
        <v/>
      </c>
      <c r="O85" s="9" t="str">
        <f>IFERROR(__xludf.DUMMYFUNCTION("TRIM(REGEXREPLACE(Q85 , ""DAC(\d+_OUT\d+)|."" , ""$1 "")  )"),"")</f>
        <v/>
      </c>
      <c r="P85" s="9" t="str">
        <f>IFERROR(__xludf.DUMMYFUNCTION("TRIM(REGEXREPLACE(REGEXREPLACE(R85, "","", "" ""), ""(EVENTOUT|TRACECLK|TRACED.|SPI._[^ ]*|SAI._[^ ]*|ETH_[^ ]*|QUADSPI_[^ ]*|FMC_[^ ]*|UART._[^ ]*|FDCAN._[^ ]*|DFSDM._[^ ]*|OTG_[^ ]*|TIM\d+_[^ ]*)( |$)"", "" ""))"),"")</f>
        <v/>
      </c>
      <c r="Q85" s="12" t="s">
        <v>280</v>
      </c>
      <c r="R85" s="17" t="s">
        <v>150</v>
      </c>
    </row>
    <row r="86">
      <c r="A86" s="5">
        <v>6.0</v>
      </c>
      <c r="B86" s="5" t="s">
        <v>281</v>
      </c>
      <c r="C86" s="7"/>
      <c r="D86" s="8" t="str">
        <f>IF(COUNTIF(ConnectorPins!$F$2:$F$999, B86) &gt; 0, MATCH(B86, ConnectorPins!$F$2:$F$999, 0), IF(COUNTIF(ConnectorPins!$I$2:$I$999, B86) &gt; 0, MATCH(B86, ConnectorPins!$I$2:$I$999, 0) + 35, ""))</f>
        <v/>
      </c>
      <c r="E86" s="7"/>
      <c r="F86" s="7"/>
      <c r="G86" s="9" t="str">
        <f>IFERROR(__xludf.DUMMYFUNCTION("TRIM(REGEXREPLACE(Q86 , ""ADC(\d+_(INN\d+|INP\d+)*)|."" , ""$1 "")  )"),"")</f>
        <v/>
      </c>
      <c r="I86" s="9" t="str">
        <f>IFERROR(__xludf.DUMMYFUNCTION("TRIM(REGEXREPLACE(R86 , ""SPI(._(MOSI|MISO|SCK))|."" , ""$1 "")  )"),"")</f>
        <v/>
      </c>
      <c r="J86" s="10" t="str">
        <f>IFERROR(__xludf.DUMMYFUNCTION("TRIM(REGEXREPLACE(R86 , ""FDCAN(._[\w_]+)|."" , ""$1 "")  )"),"")</f>
        <v/>
      </c>
      <c r="K86" s="11" t="str">
        <f>IFERROR(__xludf.DUMMYFUNCTION("TRIM(REGEXREPLACE(R86 , ""ETH_([\w_]+)|."" , ""$1 "")  )"),"")</f>
        <v/>
      </c>
      <c r="L86" s="9" t="str">
        <f>IFERROR(__xludf.DUMMYFUNCTION("TRIM(REGEXREPLACE(R86 , ""TIM(._\w+)|."" , ""$1 "")  )"),"")</f>
        <v/>
      </c>
      <c r="M86" s="11" t="str">
        <f>IFERROR(__xludf.DUMMYFUNCTION("TRIM(REGEXREPLACE(R86 , ""OTG_([\w_]+)|."" , ""$1 "") )"),"")</f>
        <v/>
      </c>
      <c r="N86" s="9" t="str">
        <f>IFERROR(__xludf.DUMMYFUNCTION("TRIM(REGEXREPLACE(R86 , ""US?ART(._(TX|RX))|."" , ""$1 "")  )"),"")</f>
        <v/>
      </c>
      <c r="O86" s="9" t="str">
        <f>IFERROR(__xludf.DUMMYFUNCTION("TRIM(REGEXREPLACE(Q86 , ""DAC(\d+_OUT\d+)|."" , ""$1 "")  )"),"")</f>
        <v/>
      </c>
      <c r="P86" s="9" t="str">
        <f>IFERROR(__xludf.DUMMYFUNCTION("TRIM(REGEXREPLACE(REGEXREPLACE(R86, "","", "" ""), ""(EVENTOUT|TRACECLK|TRACED.|SPI._[^ ]*|SAI._[^ ]*|ETH_[^ ]*|QUADSPI_[^ ]*|FMC_[^ ]*|UART._[^ ]*|FDCAN._[^ ]*|DFSDM._[^ ]*|OTG_[^ ]*|TIM\d+_[^ ]*)( |$)"", "" ""))"),"")</f>
        <v/>
      </c>
      <c r="Q86" s="14"/>
      <c r="R86" s="13"/>
    </row>
    <row r="87">
      <c r="A87" s="5">
        <v>48.0</v>
      </c>
      <c r="B87" s="5" t="s">
        <v>282</v>
      </c>
      <c r="C87" s="7"/>
      <c r="D87" s="8" t="str">
        <f>IF(COUNTIF(ConnectorPins!$F$2:$F$999, B87) &gt; 0, MATCH(B87, ConnectorPins!$F$2:$F$999, 0), IF(COUNTIF(ConnectorPins!$I$2:$I$999, B87) &gt; 0, MATCH(B87, ConnectorPins!$I$2:$I$999, 0) + 35, ""))</f>
        <v/>
      </c>
      <c r="E87" s="7"/>
      <c r="F87" s="7"/>
      <c r="G87" s="9" t="str">
        <f>IFERROR(__xludf.DUMMYFUNCTION("TRIM(REGEXREPLACE(Q87 , ""ADC(\d+_(INN\d+|INP\d+)*)|."" , ""$1 "")  )"),"")</f>
        <v/>
      </c>
      <c r="I87" s="9" t="str">
        <f>IFERROR(__xludf.DUMMYFUNCTION("TRIM(REGEXREPLACE(R87 , ""SPI(._(MOSI|MISO|SCK))|."" , ""$1 "")  )"),"")</f>
        <v/>
      </c>
      <c r="J87" s="10" t="str">
        <f>IFERROR(__xludf.DUMMYFUNCTION("TRIM(REGEXREPLACE(R87 , ""FDCAN(._[\w_]+)|."" , ""$1 "")  )"),"")</f>
        <v/>
      </c>
      <c r="K87" s="11" t="str">
        <f>IFERROR(__xludf.DUMMYFUNCTION("TRIM(REGEXREPLACE(R87 , ""ETH_([\w_]+)|."" , ""$1 "")  )"),"")</f>
        <v/>
      </c>
      <c r="L87" s="9" t="str">
        <f>IFERROR(__xludf.DUMMYFUNCTION("TRIM(REGEXREPLACE(R87 , ""TIM(._\w+)|."" , ""$1 "")  )"),"")</f>
        <v/>
      </c>
      <c r="M87" s="11" t="str">
        <f>IFERROR(__xludf.DUMMYFUNCTION("TRIM(REGEXREPLACE(R87 , ""OTG_([\w_]+)|."" , ""$1 "") )"),"")</f>
        <v/>
      </c>
      <c r="N87" s="9" t="str">
        <f>IFERROR(__xludf.DUMMYFUNCTION("TRIM(REGEXREPLACE(R87 , ""US?ART(._(TX|RX))|."" , ""$1 "")  )"),"")</f>
        <v/>
      </c>
      <c r="O87" s="9" t="str">
        <f>IFERROR(__xludf.DUMMYFUNCTION("TRIM(REGEXREPLACE(Q87 , ""DAC(\d+_OUT\d+)|."" , ""$1 "")  )"),"")</f>
        <v/>
      </c>
      <c r="P87" s="9" t="str">
        <f>IFERROR(__xludf.DUMMYFUNCTION("TRIM(REGEXREPLACE(REGEXREPLACE(R87, "","", "" ""), ""(EVENTOUT|TRACECLK|TRACED.|SPI._[^ ]*|SAI._[^ ]*|ETH_[^ ]*|QUADSPI_[^ ]*|FMC_[^ ]*|UART._[^ ]*|FDCAN._[^ ]*|DFSDM._[^ ]*|OTG_[^ ]*|TIM\d+_[^ ]*)( |$)"", "" ""))"),"")</f>
        <v/>
      </c>
      <c r="Q87" s="14"/>
      <c r="R87" s="13"/>
    </row>
    <row r="88">
      <c r="A88" s="5">
        <v>73.0</v>
      </c>
      <c r="B88" s="5" t="s">
        <v>282</v>
      </c>
      <c r="C88" s="7"/>
      <c r="D88" s="8" t="str">
        <f>IF(COUNTIF(ConnectorPins!$F$2:$F$999, B88) &gt; 0, MATCH(B88, ConnectorPins!$F$2:$F$999, 0), IF(COUNTIF(ConnectorPins!$I$2:$I$999, B88) &gt; 0, MATCH(B88, ConnectorPins!$I$2:$I$999, 0), ""))</f>
        <v/>
      </c>
      <c r="E88" s="7"/>
      <c r="F88" s="7"/>
      <c r="G88" s="9" t="str">
        <f>IFERROR(__xludf.DUMMYFUNCTION("TRIM(REGEXREPLACE(Q88 , ""ADC(\d+_(INN\d+|INP\d+)*)|."" , ""$1 "")  )"),"")</f>
        <v/>
      </c>
      <c r="I88" s="9" t="str">
        <f>IFERROR(__xludf.DUMMYFUNCTION("TRIM(REGEXREPLACE(R88 , ""SPI(._(MOSI|MISO|SCK))|."" , ""$1 "")  )"),"")</f>
        <v/>
      </c>
      <c r="J88" s="10" t="str">
        <f>IFERROR(__xludf.DUMMYFUNCTION("TRIM(REGEXREPLACE(R88 , ""FDCAN(._[\w_]+)|."" , ""$1 "")  )"),"")</f>
        <v/>
      </c>
      <c r="K88" s="11" t="str">
        <f>IFERROR(__xludf.DUMMYFUNCTION("TRIM(REGEXREPLACE(R88 , ""ETH_([\w_]+)|."" , ""$1 "")  )"),"")</f>
        <v/>
      </c>
      <c r="L88" s="9" t="str">
        <f>IFERROR(__xludf.DUMMYFUNCTION("TRIM(REGEXREPLACE(R88 , ""TIM(._\w+)|."" , ""$1 "")  )"),"")</f>
        <v/>
      </c>
      <c r="M88" s="11" t="str">
        <f>IFERROR(__xludf.DUMMYFUNCTION("TRIM(REGEXREPLACE(R88 , ""OTG_([\w_]+)|."" , ""$1 "") )"),"")</f>
        <v/>
      </c>
      <c r="N88" s="9" t="str">
        <f>IFERROR(__xludf.DUMMYFUNCTION("TRIM(REGEXREPLACE(R88 , ""US?ART(._(TX|RX))|."" , ""$1 "")  )"),"")</f>
        <v/>
      </c>
      <c r="O88" s="9" t="str">
        <f>IFERROR(__xludf.DUMMYFUNCTION("TRIM(REGEXREPLACE(Q88 , ""DAC(\d+_OUT\d+)|."" , ""$1 "")  )"),"")</f>
        <v/>
      </c>
      <c r="P88" s="9" t="str">
        <f>IFERROR(__xludf.DUMMYFUNCTION("TRIM(REGEXREPLACE(REGEXREPLACE(R88, "","", "" ""), ""(EVENTOUT|TRACECLK|TRACED.|SPI._[^ ]*|SAI._[^ ]*|ETH_[^ ]*|QUADSPI_[^ ]*|FMC_[^ ]*|UART._[^ ]*|FDCAN._[^ ]*|DFSDM._[^ ]*|OTG_[^ ]*|TIM\d+_[^ ]*)( |$)"", "" ""))"),"")</f>
        <v/>
      </c>
      <c r="Q88" s="14"/>
      <c r="R88" s="13"/>
    </row>
    <row r="89">
      <c r="A89" s="5">
        <v>11.0</v>
      </c>
      <c r="B89" s="5" t="s">
        <v>283</v>
      </c>
      <c r="C89" s="7"/>
      <c r="D89" s="8" t="str">
        <f>IF(COUNTIF(ConnectorPins!$F$2:$F$999, B89) &gt; 0, MATCH(B89, ConnectorPins!$F$2:$F$999, 0), IF(COUNTIF(ConnectorPins!$I$2:$I$999, B89) &gt; 0, MATCH(B89, ConnectorPins!$I$2:$I$999, 0) + 35, ""))</f>
        <v/>
      </c>
      <c r="E89" s="7"/>
      <c r="F89" s="7"/>
      <c r="G89" s="9" t="str">
        <f>IFERROR(__xludf.DUMMYFUNCTION("TRIM(REGEXREPLACE(Q89 , ""ADC(\d+_(INN\d+|INP\d+)*)|."" , ""$1 "")  )"),"")</f>
        <v/>
      </c>
      <c r="I89" s="9" t="str">
        <f>IFERROR(__xludf.DUMMYFUNCTION("TRIM(REGEXREPLACE(R89 , ""SPI(._(MOSI|MISO|SCK))|."" , ""$1 "")  )"),"")</f>
        <v/>
      </c>
      <c r="J89" s="10" t="str">
        <f>IFERROR(__xludf.DUMMYFUNCTION("TRIM(REGEXREPLACE(R89 , ""FDCAN(._[\w_]+)|."" , ""$1 "")  )"),"")</f>
        <v/>
      </c>
      <c r="K89" s="11" t="str">
        <f>IFERROR(__xludf.DUMMYFUNCTION("TRIM(REGEXREPLACE(R89 , ""ETH_([\w_]+)|."" , ""$1 "")  )"),"")</f>
        <v/>
      </c>
      <c r="L89" s="9" t="str">
        <f>IFERROR(__xludf.DUMMYFUNCTION("TRIM(REGEXREPLACE(R89 , ""TIM(._\w+)|."" , ""$1 "")  )"),"")</f>
        <v/>
      </c>
      <c r="M89" s="11" t="str">
        <f>IFERROR(__xludf.DUMMYFUNCTION("TRIM(REGEXREPLACE(R89 , ""OTG_([\w_]+)|."" , ""$1 "") )"),"")</f>
        <v/>
      </c>
      <c r="N89" s="9" t="str">
        <f>IFERROR(__xludf.DUMMYFUNCTION("TRIM(REGEXREPLACE(R89 , ""US?ART(._(TX|RX))|."" , ""$1 "")  )"),"")</f>
        <v/>
      </c>
      <c r="O89" s="9" t="str">
        <f>IFERROR(__xludf.DUMMYFUNCTION("TRIM(REGEXREPLACE(Q89 , ""DAC(\d+_OUT\d+)|."" , ""$1 "")  )"),"")</f>
        <v/>
      </c>
      <c r="P89" s="9" t="str">
        <f>IFERROR(__xludf.DUMMYFUNCTION("TRIM(REGEXREPLACE(REGEXREPLACE(R89, "","", "" ""), ""(EVENTOUT|TRACECLK|TRACED.|SPI._[^ ]*|SAI._[^ ]*|ETH_[^ ]*|QUADSPI_[^ ]*|FMC_[^ ]*|UART._[^ ]*|FDCAN._[^ ]*|DFSDM._[^ ]*|OTG_[^ ]*|TIM\d+_[^ ]*)( |$)"", "" ""))"),"")</f>
        <v/>
      </c>
      <c r="Q89" s="14"/>
      <c r="R89" s="13"/>
    </row>
    <row r="90">
      <c r="A90" s="5">
        <v>27.0</v>
      </c>
      <c r="B90" s="5" t="s">
        <v>283</v>
      </c>
      <c r="C90" s="7"/>
      <c r="D90" s="8" t="str">
        <f>IF(COUNTIF(ConnectorPins!$F$2:$F$999, B90) &gt; 0, MATCH(B90, ConnectorPins!$F$2:$F$999, 0), IF(COUNTIF(ConnectorPins!$I$2:$I$999, B90) &gt; 0, MATCH(B90, ConnectorPins!$I$2:$I$999, 0) + 35, ""))</f>
        <v/>
      </c>
      <c r="E90" s="7"/>
      <c r="F90" s="7"/>
      <c r="G90" s="9" t="str">
        <f>IFERROR(__xludf.DUMMYFUNCTION("TRIM(REGEXREPLACE(Q90 , ""ADC(\d+_(INN\d+|INP\d+)*)|."" , ""$1 "")  )"),"")</f>
        <v/>
      </c>
      <c r="I90" s="9" t="str">
        <f>IFERROR(__xludf.DUMMYFUNCTION("TRIM(REGEXREPLACE(R90 , ""SPI(._(MOSI|MISO|SCK))|."" , ""$1 "")  )"),"")</f>
        <v/>
      </c>
      <c r="J90" s="10" t="str">
        <f>IFERROR(__xludf.DUMMYFUNCTION("TRIM(REGEXREPLACE(R90 , ""FDCAN(._[\w_]+)|."" , ""$1 "")  )"),"")</f>
        <v/>
      </c>
      <c r="K90" s="11" t="str">
        <f>IFERROR(__xludf.DUMMYFUNCTION("TRIM(REGEXREPLACE(R90 , ""ETH_([\w_]+)|."" , ""$1 "")  )"),"")</f>
        <v/>
      </c>
      <c r="L90" s="9" t="str">
        <f>IFERROR(__xludf.DUMMYFUNCTION("TRIM(REGEXREPLACE(R90 , ""TIM(._\w+)|."" , ""$1 "")  )"),"")</f>
        <v/>
      </c>
      <c r="M90" s="11" t="str">
        <f>IFERROR(__xludf.DUMMYFUNCTION("TRIM(REGEXREPLACE(R90 , ""OTG_([\w_]+)|."" , ""$1 "") )"),"")</f>
        <v/>
      </c>
      <c r="N90" s="9" t="str">
        <f>IFERROR(__xludf.DUMMYFUNCTION("TRIM(REGEXREPLACE(R90 , ""US?ART(._(TX|RX))|."" , ""$1 "")  )"),"")</f>
        <v/>
      </c>
      <c r="O90" s="9" t="str">
        <f>IFERROR(__xludf.DUMMYFUNCTION("TRIM(REGEXREPLACE(Q90 , ""DAC(\d+_OUT\d+)|."" , ""$1 "")  )"),"")</f>
        <v/>
      </c>
      <c r="P90" s="9" t="str">
        <f>IFERROR(__xludf.DUMMYFUNCTION("TRIM(REGEXREPLACE(REGEXREPLACE(R90, "","", "" ""), ""(EVENTOUT|TRACECLK|TRACED.|SPI._[^ ]*|SAI._[^ ]*|ETH_[^ ]*|QUADSPI_[^ ]*|FMC_[^ ]*|UART._[^ ]*|FDCAN._[^ ]*|DFSDM._[^ ]*|OTG_[^ ]*|TIM\d+_[^ ]*)( |$)"", "" ""))"),"")</f>
        <v/>
      </c>
      <c r="Q90" s="14"/>
      <c r="R90" s="13"/>
    </row>
    <row r="91">
      <c r="A91" s="5">
        <v>50.0</v>
      </c>
      <c r="B91" s="5" t="s">
        <v>283</v>
      </c>
      <c r="C91" s="7"/>
      <c r="D91" s="8" t="str">
        <f>IF(COUNTIF(ConnectorPins!$F$2:$F$999, B91) &gt; 0, MATCH(B91, ConnectorPins!$F$2:$F$999, 0), IF(COUNTIF(ConnectorPins!$I$2:$I$999, B91) &gt; 0, MATCH(B91, ConnectorPins!$I$2:$I$999, 0) + 35, ""))</f>
        <v/>
      </c>
      <c r="E91" s="7"/>
      <c r="F91" s="7"/>
      <c r="G91" s="9" t="str">
        <f>IFERROR(__xludf.DUMMYFUNCTION("TRIM(REGEXREPLACE(Q91 , ""ADC(\d+_(INN\d+|INP\d+)*)|."" , ""$1 "")  )"),"")</f>
        <v/>
      </c>
      <c r="I91" s="9" t="str">
        <f>IFERROR(__xludf.DUMMYFUNCTION("TRIM(REGEXREPLACE(R91 , ""SPI(._(MOSI|MISO|SCK))|."" , ""$1 "")  )"),"")</f>
        <v/>
      </c>
      <c r="J91" s="10" t="str">
        <f>IFERROR(__xludf.DUMMYFUNCTION("TRIM(REGEXREPLACE(R91 , ""FDCAN(._[\w_]+)|."" , ""$1 "")  )"),"")</f>
        <v/>
      </c>
      <c r="K91" s="11" t="str">
        <f>IFERROR(__xludf.DUMMYFUNCTION("TRIM(REGEXREPLACE(R91 , ""ETH_([\w_]+)|."" , ""$1 "")  )"),"")</f>
        <v/>
      </c>
      <c r="L91" s="9" t="str">
        <f>IFERROR(__xludf.DUMMYFUNCTION("TRIM(REGEXREPLACE(R91 , ""TIM(._\w+)|."" , ""$1 "")  )"),"")</f>
        <v/>
      </c>
      <c r="M91" s="11" t="str">
        <f>IFERROR(__xludf.DUMMYFUNCTION("TRIM(REGEXREPLACE(R91 , ""OTG_([\w_]+)|."" , ""$1 "") )"),"")</f>
        <v/>
      </c>
      <c r="N91" s="9" t="str">
        <f>IFERROR(__xludf.DUMMYFUNCTION("TRIM(REGEXREPLACE(R91 , ""US?ART(._(TX|RX))|."" , ""$1 "")  )"),"")</f>
        <v/>
      </c>
      <c r="O91" s="9" t="str">
        <f>IFERROR(__xludf.DUMMYFUNCTION("TRIM(REGEXREPLACE(Q91 , ""DAC(\d+_OUT\d+)|."" , ""$1 "")  )"),"")</f>
        <v/>
      </c>
      <c r="P91" s="9" t="str">
        <f>IFERROR(__xludf.DUMMYFUNCTION("TRIM(REGEXREPLACE(REGEXREPLACE(R91, "","", "" ""), ""(EVENTOUT|TRACECLK|TRACED.|SPI._[^ ]*|SAI._[^ ]*|ETH_[^ ]*|QUADSPI_[^ ]*|FMC_[^ ]*|UART._[^ ]*|FDCAN._[^ ]*|DFSDM._[^ ]*|OTG_[^ ]*|TIM\d+_[^ ]*)( |$)"", "" ""))"),"")</f>
        <v/>
      </c>
      <c r="Q91" s="14"/>
      <c r="R91" s="13"/>
    </row>
    <row r="92">
      <c r="A92" s="5">
        <v>75.0</v>
      </c>
      <c r="B92" s="5" t="s">
        <v>283</v>
      </c>
      <c r="C92" s="7"/>
      <c r="D92" s="8" t="str">
        <f>IF(COUNTIF(ConnectorPins!$F$2:$F$999, B92) &gt; 0, MATCH(B92, ConnectorPins!$F$2:$F$999, 0), IF(COUNTIF(ConnectorPins!$I$2:$I$999, B92) &gt; 0, MATCH(B92, ConnectorPins!$I$2:$I$999, 0), ""))</f>
        <v/>
      </c>
      <c r="E92" s="7"/>
      <c r="F92" s="7"/>
      <c r="G92" s="9" t="str">
        <f>IFERROR(__xludf.DUMMYFUNCTION("TRIM(REGEXREPLACE(Q92 , ""ADC(\d+_(INN\d+|INP\d+)*)|."" , ""$1 "")  )"),"")</f>
        <v/>
      </c>
      <c r="I92" s="9" t="str">
        <f>IFERROR(__xludf.DUMMYFUNCTION("TRIM(REGEXREPLACE(R92 , ""SPI(._(MOSI|MISO|SCK))|."" , ""$1 "")  )"),"")</f>
        <v/>
      </c>
      <c r="J92" s="10" t="str">
        <f>IFERROR(__xludf.DUMMYFUNCTION("TRIM(REGEXREPLACE(R92 , ""FDCAN(._[\w_]+)|."" , ""$1 "")  )"),"")</f>
        <v/>
      </c>
      <c r="K92" s="11" t="str">
        <f>IFERROR(__xludf.DUMMYFUNCTION("TRIM(REGEXREPLACE(R92 , ""ETH_([\w_]+)|."" , ""$1 "")  )"),"")</f>
        <v/>
      </c>
      <c r="L92" s="9" t="str">
        <f>IFERROR(__xludf.DUMMYFUNCTION("TRIM(REGEXREPLACE(R92 , ""TIM(._\w+)|."" , ""$1 "")  )"),"")</f>
        <v/>
      </c>
      <c r="M92" s="11" t="str">
        <f>IFERROR(__xludf.DUMMYFUNCTION("TRIM(REGEXREPLACE(R92 , ""OTG_([\w_]+)|."" , ""$1 "") )"),"")</f>
        <v/>
      </c>
      <c r="N92" s="9" t="str">
        <f>IFERROR(__xludf.DUMMYFUNCTION("TRIM(REGEXREPLACE(R92 , ""US?ART(._(TX|RX))|."" , ""$1 "")  )"),"")</f>
        <v/>
      </c>
      <c r="O92" s="9" t="str">
        <f>IFERROR(__xludf.DUMMYFUNCTION("TRIM(REGEXREPLACE(Q92 , ""DAC(\d+_OUT\d+)|."" , ""$1 "")  )"),"")</f>
        <v/>
      </c>
      <c r="P92" s="9" t="str">
        <f>IFERROR(__xludf.DUMMYFUNCTION("TRIM(REGEXREPLACE(REGEXREPLACE(R92, "","", "" ""), ""(EVENTOUT|TRACECLK|TRACED.|SPI._[^ ]*|SAI._[^ ]*|ETH_[^ ]*|QUADSPI_[^ ]*|FMC_[^ ]*|UART._[^ ]*|FDCAN._[^ ]*|DFSDM._[^ ]*|OTG_[^ ]*|TIM\d+_[^ ]*)( |$)"", "" ""))"),"")</f>
        <v/>
      </c>
      <c r="Q92" s="14"/>
      <c r="R92" s="13"/>
    </row>
    <row r="93">
      <c r="A93" s="5">
        <v>100.0</v>
      </c>
      <c r="B93" s="5" t="s">
        <v>283</v>
      </c>
      <c r="C93" s="7"/>
      <c r="D93" s="8" t="str">
        <f>IF(COUNTIF(ConnectorPins!$F$2:$F$999, B93) &gt; 0, MATCH(B93, ConnectorPins!$F$2:$F$999, 0), IF(COUNTIF(ConnectorPins!$I$2:$I$999, B93) &gt; 0, MATCH(B93, ConnectorPins!$I$2:$I$999, 0), ""))</f>
        <v/>
      </c>
      <c r="E93" s="7"/>
      <c r="F93" s="7"/>
      <c r="G93" s="9" t="str">
        <f>IFERROR(__xludf.DUMMYFUNCTION("TRIM(REGEXREPLACE(Q93 , ""ADC(\d+_(INN\d+|INP\d+)*)|."" , ""$1 "")  )"),"")</f>
        <v/>
      </c>
      <c r="I93" s="9" t="str">
        <f>IFERROR(__xludf.DUMMYFUNCTION("TRIM(REGEXREPLACE(R93 , ""SPI(._(MOSI|MISO|SCK))|."" , ""$1 "")  )"),"")</f>
        <v/>
      </c>
      <c r="J93" s="10" t="str">
        <f>IFERROR(__xludf.DUMMYFUNCTION("TRIM(REGEXREPLACE(R93 , ""FDCAN(._[\w_]+)|."" , ""$1 "")  )"),"")</f>
        <v/>
      </c>
      <c r="K93" s="11" t="str">
        <f>IFERROR(__xludf.DUMMYFUNCTION("TRIM(REGEXREPLACE(R93 , ""ETH_([\w_]+)|."" , ""$1 "")  )"),"")</f>
        <v/>
      </c>
      <c r="L93" s="9" t="str">
        <f>IFERROR(__xludf.DUMMYFUNCTION("TRIM(REGEXREPLACE(R93 , ""TIM(._\w+)|."" , ""$1 "")  )"),"")</f>
        <v/>
      </c>
      <c r="M93" s="11" t="str">
        <f>IFERROR(__xludf.DUMMYFUNCTION("TRIM(REGEXREPLACE(R93 , ""OTG_([\w_]+)|."" , ""$1 "") )"),"")</f>
        <v/>
      </c>
      <c r="N93" s="9" t="str">
        <f>IFERROR(__xludf.DUMMYFUNCTION("TRIM(REGEXREPLACE(R93 , ""US?ART(._(TX|RX))|."" , ""$1 "")  )"),"")</f>
        <v/>
      </c>
      <c r="O93" s="9" t="str">
        <f>IFERROR(__xludf.DUMMYFUNCTION("TRIM(REGEXREPLACE(Q93 , ""DAC(\d+_OUT\d+)|."" , ""$1 "")  )"),"")</f>
        <v/>
      </c>
      <c r="P93" s="9" t="str">
        <f>IFERROR(__xludf.DUMMYFUNCTION("TRIM(REGEXREPLACE(REGEXREPLACE(R93, "","", "" ""), ""(EVENTOUT|TRACECLK|TRACED.|SPI._[^ ]*|SAI._[^ ]*|ETH_[^ ]*|QUADSPI_[^ ]*|FMC_[^ ]*|UART._[^ ]*|FDCAN._[^ ]*|DFSDM._[^ ]*|OTG_[^ ]*|TIM\d+_[^ ]*)( |$)"", "" ""))"),"")</f>
        <v/>
      </c>
      <c r="Q93" s="14"/>
      <c r="R93" s="13"/>
    </row>
    <row r="94">
      <c r="A94" s="5">
        <v>21.0</v>
      </c>
      <c r="B94" s="5" t="s">
        <v>284</v>
      </c>
      <c r="C94" s="7"/>
      <c r="D94" s="8" t="str">
        <f>IF(COUNTIF(ConnectorPins!$F$2:$F$999, B94) &gt; 0, MATCH(B94, ConnectorPins!$F$2:$F$999, 0), IF(COUNTIF(ConnectorPins!$I$2:$I$999, B94) &gt; 0, MATCH(B94, ConnectorPins!$I$2:$I$999, 0) + 35, ""))</f>
        <v/>
      </c>
      <c r="E94" s="7"/>
      <c r="F94" s="7"/>
      <c r="G94" s="9" t="str">
        <f>IFERROR(__xludf.DUMMYFUNCTION("TRIM(REGEXREPLACE(Q94 , ""ADC(\d+_(INN\d+|INP\d+)*)|."" , ""$1 "")  )"),"")</f>
        <v/>
      </c>
      <c r="I94" s="9" t="str">
        <f>IFERROR(__xludf.DUMMYFUNCTION("TRIM(REGEXREPLACE(R94 , ""SPI(._(MOSI|MISO|SCK))|."" , ""$1 "")  )"),"")</f>
        <v/>
      </c>
      <c r="J94" s="10" t="str">
        <f>IFERROR(__xludf.DUMMYFUNCTION("TRIM(REGEXREPLACE(R94 , ""FDCAN(._[\w_]+)|."" , ""$1 "")  )"),"")</f>
        <v/>
      </c>
      <c r="K94" s="11" t="str">
        <f>IFERROR(__xludf.DUMMYFUNCTION("TRIM(REGEXREPLACE(R94 , ""ETH_([\w_]+)|."" , ""$1 "")  )"),"")</f>
        <v/>
      </c>
      <c r="L94" s="9" t="str">
        <f>IFERROR(__xludf.DUMMYFUNCTION("TRIM(REGEXREPLACE(R94 , ""TIM(._\w+)|."" , ""$1 "")  )"),"")</f>
        <v/>
      </c>
      <c r="M94" s="11" t="str">
        <f>IFERROR(__xludf.DUMMYFUNCTION("TRIM(REGEXREPLACE(R94 , ""OTG_([\w_]+)|."" , ""$1 "") )"),"")</f>
        <v/>
      </c>
      <c r="N94" s="9" t="str">
        <f>IFERROR(__xludf.DUMMYFUNCTION("TRIM(REGEXREPLACE(R94 , ""US?ART(._(TX|RX))|."" , ""$1 "")  )"),"")</f>
        <v/>
      </c>
      <c r="O94" s="9" t="str">
        <f>IFERROR(__xludf.DUMMYFUNCTION("TRIM(REGEXREPLACE(Q94 , ""DAC(\d+_OUT\d+)|."" , ""$1 "")  )"),"")</f>
        <v/>
      </c>
      <c r="P94" s="9" t="str">
        <f>IFERROR(__xludf.DUMMYFUNCTION("TRIM(REGEXREPLACE(REGEXREPLACE(R94, "","", "" ""), ""(EVENTOUT|TRACECLK|TRACED.|SPI._[^ ]*|SAI._[^ ]*|ETH_[^ ]*|QUADSPI_[^ ]*|FMC_[^ ]*|UART._[^ ]*|FDCAN._[^ ]*|DFSDM._[^ ]*|OTG_[^ ]*|TIM\d+_[^ ]*)( |$)"", "" ""))"),"")</f>
        <v/>
      </c>
      <c r="Q94" s="14"/>
      <c r="R94" s="13"/>
    </row>
    <row r="95">
      <c r="A95" s="5">
        <v>20.0</v>
      </c>
      <c r="B95" s="5" t="s">
        <v>285</v>
      </c>
      <c r="C95" s="7"/>
      <c r="D95" s="8" t="str">
        <f>IF(COUNTIF(ConnectorPins!$F$2:$F$999, B95) &gt; 0, MATCH(B95, ConnectorPins!$F$2:$F$999, 0), IF(COUNTIF(ConnectorPins!$I$2:$I$999, B95) &gt; 0, MATCH(B95, ConnectorPins!$I$2:$I$999, 0) + 35, ""))</f>
        <v/>
      </c>
      <c r="E95" s="7"/>
      <c r="F95" s="7"/>
      <c r="G95" s="9" t="str">
        <f>IFERROR(__xludf.DUMMYFUNCTION("TRIM(REGEXREPLACE(Q95 , ""ADC(\d+_(INN\d+|INP\d+)*)|."" , ""$1 "")  )"),"")</f>
        <v/>
      </c>
      <c r="I95" s="9" t="str">
        <f>IFERROR(__xludf.DUMMYFUNCTION("TRIM(REGEXREPLACE(R95 , ""SPI(._(MOSI|MISO|SCK))|."" , ""$1 "")  )"),"")</f>
        <v/>
      </c>
      <c r="J95" s="10" t="str">
        <f>IFERROR(__xludf.DUMMYFUNCTION("TRIM(REGEXREPLACE(R95 , ""FDCAN(._[\w_]+)|."" , ""$1 "")  )"),"")</f>
        <v/>
      </c>
      <c r="K95" s="11" t="str">
        <f>IFERROR(__xludf.DUMMYFUNCTION("TRIM(REGEXREPLACE(R95 , ""ETH_([\w_]+)|."" , ""$1 "")  )"),"")</f>
        <v/>
      </c>
      <c r="L95" s="9" t="str">
        <f>IFERROR(__xludf.DUMMYFUNCTION("TRIM(REGEXREPLACE(R95 , ""TIM(._\w+)|."" , ""$1 "")  )"),"")</f>
        <v/>
      </c>
      <c r="M95" s="11" t="str">
        <f>IFERROR(__xludf.DUMMYFUNCTION("TRIM(REGEXREPLACE(R95 , ""OTG_([\w_]+)|."" , ""$1 "") )"),"")</f>
        <v/>
      </c>
      <c r="N95" s="9" t="str">
        <f>IFERROR(__xludf.DUMMYFUNCTION("TRIM(REGEXREPLACE(R95 , ""US?ART(._(TX|RX))|."" , ""$1 "")  )"),"")</f>
        <v/>
      </c>
      <c r="O95" s="9" t="str">
        <f>IFERROR(__xludf.DUMMYFUNCTION("TRIM(REGEXREPLACE(Q95 , ""DAC(\d+_OUT\d+)|."" , ""$1 "")  )"),"")</f>
        <v/>
      </c>
      <c r="P95" s="9" t="str">
        <f>IFERROR(__xludf.DUMMYFUNCTION("TRIM(REGEXREPLACE(REGEXREPLACE(R95, "","", "" ""), ""(EVENTOUT|TRACECLK|TRACED.|SPI._[^ ]*|SAI._[^ ]*|ETH_[^ ]*|QUADSPI_[^ ]*|FMC_[^ ]*|UART._[^ ]*|FDCAN._[^ ]*|DFSDM._[^ ]*|OTG_[^ ]*|TIM\d+_[^ ]*)( |$)"", "" ""))"),"")</f>
        <v/>
      </c>
      <c r="Q95" s="14"/>
      <c r="R95" s="13"/>
    </row>
    <row r="96">
      <c r="A96" s="5">
        <v>10.0</v>
      </c>
      <c r="B96" s="5" t="s">
        <v>286</v>
      </c>
      <c r="C96" s="7"/>
      <c r="D96" s="8" t="str">
        <f>IF(COUNTIF(ConnectorPins!$F$2:$F$999, B96) &gt; 0, MATCH(B96, ConnectorPins!$F$2:$F$999, 0), IF(COUNTIF(ConnectorPins!$I$2:$I$999, B96) &gt; 0, MATCH(B96, ConnectorPins!$I$2:$I$999, 0) + 35, ""))</f>
        <v/>
      </c>
      <c r="E96" s="7"/>
      <c r="F96" s="7"/>
      <c r="G96" s="9" t="str">
        <f>IFERROR(__xludf.DUMMYFUNCTION("TRIM(REGEXREPLACE(Q96 , ""ADC(\d+_(INN\d+|INP\d+)*)|."" , ""$1 "")  )"),"")</f>
        <v/>
      </c>
      <c r="I96" s="9" t="str">
        <f>IFERROR(__xludf.DUMMYFUNCTION("TRIM(REGEXREPLACE(R96 , ""SPI(._(MOSI|MISO|SCK))|."" , ""$1 "")  )"),"")</f>
        <v/>
      </c>
      <c r="J96" s="10" t="str">
        <f>IFERROR(__xludf.DUMMYFUNCTION("TRIM(REGEXREPLACE(R96 , ""FDCAN(._[\w_]+)|."" , ""$1 "")  )"),"")</f>
        <v/>
      </c>
      <c r="K96" s="11" t="str">
        <f>IFERROR(__xludf.DUMMYFUNCTION("TRIM(REGEXREPLACE(R96 , ""ETH_([\w_]+)|."" , ""$1 "")  )"),"")</f>
        <v/>
      </c>
      <c r="L96" s="9" t="str">
        <f>IFERROR(__xludf.DUMMYFUNCTION("TRIM(REGEXREPLACE(R96 , ""TIM(._\w+)|."" , ""$1 "")  )"),"")</f>
        <v/>
      </c>
      <c r="M96" s="11" t="str">
        <f>IFERROR(__xludf.DUMMYFUNCTION("TRIM(REGEXREPLACE(R96 , ""OTG_([\w_]+)|."" , ""$1 "") )"),"")</f>
        <v/>
      </c>
      <c r="N96" s="9" t="str">
        <f>IFERROR(__xludf.DUMMYFUNCTION("TRIM(REGEXREPLACE(R96 , ""US?ART(._(TX|RX))|."" , ""$1 "")  )"),"")</f>
        <v/>
      </c>
      <c r="O96" s="9" t="str">
        <f>IFERROR(__xludf.DUMMYFUNCTION("TRIM(REGEXREPLACE(Q96 , ""DAC(\d+_OUT\d+)|."" , ""$1 "")  )"),"")</f>
        <v/>
      </c>
      <c r="P96" s="9" t="str">
        <f>IFERROR(__xludf.DUMMYFUNCTION("TRIM(REGEXREPLACE(REGEXREPLACE(R96, "","", "" ""), ""(EVENTOUT|TRACECLK|TRACED.|SPI._[^ ]*|SAI._[^ ]*|ETH_[^ ]*|QUADSPI_[^ ]*|FMC_[^ ]*|UART._[^ ]*|FDCAN._[^ ]*|DFSDM._[^ ]*|OTG_[^ ]*|TIM\d+_[^ ]*)( |$)"", "" ""))"),"")</f>
        <v/>
      </c>
      <c r="Q96" s="14"/>
      <c r="R96" s="13"/>
    </row>
    <row r="97">
      <c r="A97" s="5">
        <v>26.0</v>
      </c>
      <c r="B97" s="5" t="s">
        <v>286</v>
      </c>
      <c r="C97" s="7"/>
      <c r="D97" s="8" t="str">
        <f>IF(COUNTIF(ConnectorPins!$F$2:$F$999, B97) &gt; 0, MATCH(B97, ConnectorPins!$F$2:$F$999, 0), IF(COUNTIF(ConnectorPins!$I$2:$I$999, B97) &gt; 0, MATCH(B97, ConnectorPins!$I$2:$I$999, 0) + 35, ""))</f>
        <v/>
      </c>
      <c r="E97" s="7"/>
      <c r="F97" s="7"/>
      <c r="G97" s="9" t="str">
        <f>IFERROR(__xludf.DUMMYFUNCTION("TRIM(REGEXREPLACE(Q97 , ""ADC(\d+_(INN\d+|INP\d+)*)|."" , ""$1 "")  )"),"")</f>
        <v/>
      </c>
      <c r="I97" s="9" t="str">
        <f>IFERROR(__xludf.DUMMYFUNCTION("TRIM(REGEXREPLACE(R97 , ""SPI(._(MOSI|MISO|SCK))|."" , ""$1 "")  )"),"")</f>
        <v/>
      </c>
      <c r="J97" s="10" t="str">
        <f>IFERROR(__xludf.DUMMYFUNCTION("TRIM(REGEXREPLACE(R97 , ""FDCAN(._[\w_]+)|."" , ""$1 "")  )"),"")</f>
        <v/>
      </c>
      <c r="K97" s="11" t="str">
        <f>IFERROR(__xludf.DUMMYFUNCTION("TRIM(REGEXREPLACE(R97 , ""ETH_([\w_]+)|."" , ""$1 "")  )"),"")</f>
        <v/>
      </c>
      <c r="L97" s="9" t="str">
        <f>IFERROR(__xludf.DUMMYFUNCTION("TRIM(REGEXREPLACE(R97 , ""TIM(._\w+)|."" , ""$1 "")  )"),"")</f>
        <v/>
      </c>
      <c r="M97" s="11" t="str">
        <f>IFERROR(__xludf.DUMMYFUNCTION("TRIM(REGEXREPLACE(R97 , ""OTG_([\w_]+)|."" , ""$1 "") )"),"")</f>
        <v/>
      </c>
      <c r="N97" s="9" t="str">
        <f>IFERROR(__xludf.DUMMYFUNCTION("TRIM(REGEXREPLACE(R97 , ""US?ART(._(TX|RX))|."" , ""$1 "")  )"),"")</f>
        <v/>
      </c>
      <c r="O97" s="9" t="str">
        <f>IFERROR(__xludf.DUMMYFUNCTION("TRIM(REGEXREPLACE(Q97 , ""DAC(\d+_OUT\d+)|."" , ""$1 "")  )"),"")</f>
        <v/>
      </c>
      <c r="P97" s="9" t="str">
        <f>IFERROR(__xludf.DUMMYFUNCTION("TRIM(REGEXREPLACE(REGEXREPLACE(R97, "","", "" ""), ""(EVENTOUT|TRACECLK|TRACED.|SPI._[^ ]*|SAI._[^ ]*|ETH_[^ ]*|QUADSPI_[^ ]*|FMC_[^ ]*|UART._[^ ]*|FDCAN._[^ ]*|DFSDM._[^ ]*|OTG_[^ ]*|TIM\d+_[^ ]*)( |$)"", "" ""))"),"")</f>
        <v/>
      </c>
      <c r="Q97" s="14"/>
      <c r="R97" s="13"/>
    </row>
    <row r="98">
      <c r="A98" s="5">
        <v>49.0</v>
      </c>
      <c r="B98" s="5" t="s">
        <v>286</v>
      </c>
      <c r="C98" s="7"/>
      <c r="D98" s="8" t="str">
        <f>IF(COUNTIF(ConnectorPins!$F$2:$F$999, B98) &gt; 0, MATCH(B98, ConnectorPins!$F$2:$F$999, 0), IF(COUNTIF(ConnectorPins!$I$2:$I$999, B98) &gt; 0, MATCH(B98, ConnectorPins!$I$2:$I$999, 0) + 35, ""))</f>
        <v/>
      </c>
      <c r="E98" s="7"/>
      <c r="F98" s="7"/>
      <c r="G98" s="9" t="str">
        <f>IFERROR(__xludf.DUMMYFUNCTION("TRIM(REGEXREPLACE(Q98 , ""ADC(\d+_(INN\d+|INP\d+)*)|."" , ""$1 "")  )"),"")</f>
        <v/>
      </c>
      <c r="I98" s="9" t="str">
        <f>IFERROR(__xludf.DUMMYFUNCTION("TRIM(REGEXREPLACE(R98 , ""SPI(._(MOSI|MISO|SCK))|."" , ""$1 "")  )"),"")</f>
        <v/>
      </c>
      <c r="J98" s="10" t="str">
        <f>IFERROR(__xludf.DUMMYFUNCTION("TRIM(REGEXREPLACE(R98 , ""FDCAN(._[\w_]+)|."" , ""$1 "")  )"),"")</f>
        <v/>
      </c>
      <c r="K98" s="11" t="str">
        <f>IFERROR(__xludf.DUMMYFUNCTION("TRIM(REGEXREPLACE(R98 , ""ETH_([\w_]+)|."" , ""$1 "")  )"),"")</f>
        <v/>
      </c>
      <c r="L98" s="9" t="str">
        <f>IFERROR(__xludf.DUMMYFUNCTION("TRIM(REGEXREPLACE(R98 , ""TIM(._\w+)|."" , ""$1 "")  )"),"")</f>
        <v/>
      </c>
      <c r="M98" s="11" t="str">
        <f>IFERROR(__xludf.DUMMYFUNCTION("TRIM(REGEXREPLACE(R98 , ""OTG_([\w_]+)|."" , ""$1 "") )"),"")</f>
        <v/>
      </c>
      <c r="N98" s="9" t="str">
        <f>IFERROR(__xludf.DUMMYFUNCTION("TRIM(REGEXREPLACE(R98 , ""US?ART(._(TX|RX))|."" , ""$1 "")  )"),"")</f>
        <v/>
      </c>
      <c r="O98" s="9" t="str">
        <f>IFERROR(__xludf.DUMMYFUNCTION("TRIM(REGEXREPLACE(Q98 , ""DAC(\d+_OUT\d+)|."" , ""$1 "")  )"),"")</f>
        <v/>
      </c>
      <c r="P98" s="9" t="str">
        <f>IFERROR(__xludf.DUMMYFUNCTION("TRIM(REGEXREPLACE(REGEXREPLACE(R98, "","", "" ""), ""(EVENTOUT|TRACECLK|TRACED.|SPI._[^ ]*|SAI._[^ ]*|ETH_[^ ]*|QUADSPI_[^ ]*|FMC_[^ ]*|UART._[^ ]*|FDCAN._[^ ]*|DFSDM._[^ ]*|OTG_[^ ]*|TIM\d+_[^ ]*)( |$)"", "" ""))"),"")</f>
        <v/>
      </c>
      <c r="Q98" s="14"/>
      <c r="R98" s="13"/>
    </row>
    <row r="99">
      <c r="A99" s="5">
        <v>74.0</v>
      </c>
      <c r="B99" s="5" t="s">
        <v>286</v>
      </c>
      <c r="C99" s="7"/>
      <c r="D99" s="8" t="str">
        <f>IF(COUNTIF(ConnectorPins!$F$2:$F$999, B99) &gt; 0, MATCH(B99, ConnectorPins!$F$2:$F$999, 0), IF(COUNTIF(ConnectorPins!$I$2:$I$999, B99) &gt; 0, MATCH(B99, ConnectorPins!$I$2:$I$999, 0), ""))</f>
        <v/>
      </c>
      <c r="E99" s="7"/>
      <c r="F99" s="7"/>
      <c r="G99" s="9" t="str">
        <f>IFERROR(__xludf.DUMMYFUNCTION("TRIM(REGEXREPLACE(Q99 , ""ADC(\d+_(INN\d+|INP\d+)*)|."" , ""$1 "")  )"),"")</f>
        <v/>
      </c>
      <c r="I99" s="9" t="str">
        <f>IFERROR(__xludf.DUMMYFUNCTION("TRIM(REGEXREPLACE(R99 , ""SPI(._(MOSI|MISO|SCK))|."" , ""$1 "")  )"),"")</f>
        <v/>
      </c>
      <c r="J99" s="10" t="str">
        <f>IFERROR(__xludf.DUMMYFUNCTION("TRIM(REGEXREPLACE(R99 , ""FDCAN(._[\w_]+)|."" , ""$1 "")  )"),"")</f>
        <v/>
      </c>
      <c r="K99" s="11" t="str">
        <f>IFERROR(__xludf.DUMMYFUNCTION("TRIM(REGEXREPLACE(R99 , ""ETH_([\w_]+)|."" , ""$1 "")  )"),"")</f>
        <v/>
      </c>
      <c r="L99" s="9" t="str">
        <f>IFERROR(__xludf.DUMMYFUNCTION("TRIM(REGEXREPLACE(R99 , ""TIM(._\w+)|."" , ""$1 "")  )"),"")</f>
        <v/>
      </c>
      <c r="M99" s="11" t="str">
        <f>IFERROR(__xludf.DUMMYFUNCTION("TRIM(REGEXREPLACE(R99 , ""OTG_([\w_]+)|."" , ""$1 "") )"),"")</f>
        <v/>
      </c>
      <c r="N99" s="9" t="str">
        <f>IFERROR(__xludf.DUMMYFUNCTION("TRIM(REGEXREPLACE(R99 , ""US?ART(._(TX|RX))|."" , ""$1 "")  )"),"")</f>
        <v/>
      </c>
      <c r="O99" s="9" t="str">
        <f>IFERROR(__xludf.DUMMYFUNCTION("TRIM(REGEXREPLACE(Q99 , ""DAC(\d+_OUT\d+)|."" , ""$1 "")  )"),"")</f>
        <v/>
      </c>
      <c r="P99" s="9" t="str">
        <f>IFERROR(__xludf.DUMMYFUNCTION("TRIM(REGEXREPLACE(REGEXREPLACE(R99, "","", "" ""), ""(EVENTOUT|TRACECLK|TRACED.|SPI._[^ ]*|SAI._[^ ]*|ETH_[^ ]*|QUADSPI_[^ ]*|FMC_[^ ]*|UART._[^ ]*|FDCAN._[^ ]*|DFSDM._[^ ]*|OTG_[^ ]*|TIM\d+_[^ ]*)( |$)"", "" ""))"),"")</f>
        <v/>
      </c>
      <c r="Q99" s="14"/>
      <c r="R99" s="13"/>
    </row>
    <row r="100">
      <c r="A100" s="5">
        <v>99.0</v>
      </c>
      <c r="B100" s="5" t="s">
        <v>286</v>
      </c>
      <c r="C100" s="7"/>
      <c r="D100" s="8" t="str">
        <f>IF(COUNTIF(ConnectorPins!$F$2:$F$999, B100) &gt; 0, MATCH(B100, ConnectorPins!$F$2:$F$999, 0), IF(COUNTIF(ConnectorPins!$I$2:$I$999, B100) &gt; 0, MATCH(B100, ConnectorPins!$I$2:$I$999, 0), ""))</f>
        <v/>
      </c>
      <c r="E100" s="7"/>
      <c r="F100" s="7"/>
      <c r="G100" s="9" t="str">
        <f>IFERROR(__xludf.DUMMYFUNCTION("TRIM(REGEXREPLACE(Q100 , ""ADC(\d+_(INN\d+|INP\d+)*)|."" , ""$1 "")  )"),"")</f>
        <v/>
      </c>
      <c r="I100" s="9" t="str">
        <f>IFERROR(__xludf.DUMMYFUNCTION("TRIM(REGEXREPLACE(R100 , ""SPI(._(MOSI|MISO|SCK))|."" , ""$1 "")  )"),"")</f>
        <v/>
      </c>
      <c r="J100" s="10" t="str">
        <f>IFERROR(__xludf.DUMMYFUNCTION("TRIM(REGEXREPLACE(R100 , ""FDCAN(._[\w_]+)|."" , ""$1 "")  )"),"")</f>
        <v/>
      </c>
      <c r="K100" s="11" t="str">
        <f>IFERROR(__xludf.DUMMYFUNCTION("TRIM(REGEXREPLACE(R100 , ""ETH_([\w_]+)|."" , ""$1 "")  )"),"")</f>
        <v/>
      </c>
      <c r="L100" s="9" t="str">
        <f>IFERROR(__xludf.DUMMYFUNCTION("TRIM(REGEXREPLACE(R100 , ""TIM(._\w+)|."" , ""$1 "")  )"),"")</f>
        <v/>
      </c>
      <c r="M100" s="11" t="str">
        <f>IFERROR(__xludf.DUMMYFUNCTION("TRIM(REGEXREPLACE(R100 , ""OTG_([\w_]+)|."" , ""$1 "") )"),"")</f>
        <v/>
      </c>
      <c r="N100" s="9" t="str">
        <f>IFERROR(__xludf.DUMMYFUNCTION("TRIM(REGEXREPLACE(R100 , ""US?ART(._(TX|RX))|."" , ""$1 "")  )"),"")</f>
        <v/>
      </c>
      <c r="O100" s="9" t="str">
        <f>IFERROR(__xludf.DUMMYFUNCTION("TRIM(REGEXREPLACE(Q100 , ""DAC(\d+_OUT\d+)|."" , ""$1 "")  )"),"")</f>
        <v/>
      </c>
      <c r="P100" s="9" t="str">
        <f>IFERROR(__xludf.DUMMYFUNCTION("TRIM(REGEXREPLACE(REGEXREPLACE(R100, "","", "" ""), ""(EVENTOUT|TRACECLK|TRACED.|SPI._[^ ]*|SAI._[^ ]*|ETH_[^ ]*|QUADSPI_[^ ]*|FMC_[^ ]*|UART._[^ ]*|FDCAN._[^ ]*|DFSDM._[^ ]*|OTG_[^ ]*|TIM\d+_[^ ]*)( |$)"", "" ""))"),"")</f>
        <v/>
      </c>
      <c r="Q100" s="14"/>
      <c r="R100" s="13"/>
    </row>
    <row r="101">
      <c r="A101" s="5">
        <v>19.0</v>
      </c>
      <c r="B101" s="5" t="s">
        <v>287</v>
      </c>
      <c r="C101" s="7"/>
      <c r="D101" s="8" t="str">
        <f>IF(COUNTIF(ConnectorPins!$F$2:$F$999, B101) &gt; 0, MATCH(B101, ConnectorPins!$F$2:$F$999, 0), IF(COUNTIF(ConnectorPins!$I$2:$I$999, B101) &gt; 0, MATCH(B101, ConnectorPins!$I$2:$I$999, 0) + 35, ""))</f>
        <v/>
      </c>
      <c r="E101" s="7"/>
      <c r="F101" s="7"/>
      <c r="G101" s="9" t="str">
        <f>IFERROR(__xludf.DUMMYFUNCTION("TRIM(REGEXREPLACE(Q101 , ""ADC(\d+_(INN\d+|INP\d+)*)|."" , ""$1 "")  )"),"")</f>
        <v/>
      </c>
      <c r="I101" s="9" t="str">
        <f>IFERROR(__xludf.DUMMYFUNCTION("TRIM(REGEXREPLACE(R101 , ""SPI(._(MOSI|MISO|SCK))|."" , ""$1 "")  )"),"")</f>
        <v/>
      </c>
      <c r="J101" s="10" t="str">
        <f>IFERROR(__xludf.DUMMYFUNCTION("TRIM(REGEXREPLACE(R101 , ""FDCAN(._[\w_]+)|."" , ""$1 "")  )"),"")</f>
        <v/>
      </c>
      <c r="K101" s="11" t="str">
        <f>IFERROR(__xludf.DUMMYFUNCTION("TRIM(REGEXREPLACE(R101 , ""ETH_([\w_]+)|."" , ""$1 "")  )"),"")</f>
        <v/>
      </c>
      <c r="L101" s="9" t="str">
        <f>IFERROR(__xludf.DUMMYFUNCTION("TRIM(REGEXREPLACE(R101 , ""TIM(._\w+)|."" , ""$1 "")  )"),"")</f>
        <v/>
      </c>
      <c r="M101" s="11" t="str">
        <f>IFERROR(__xludf.DUMMYFUNCTION("TRIM(REGEXREPLACE(R101 , ""OTG_([\w_]+)|."" , ""$1 "") )"),"")</f>
        <v/>
      </c>
      <c r="N101" s="9" t="str">
        <f>IFERROR(__xludf.DUMMYFUNCTION("TRIM(REGEXREPLACE(R101 , ""US?ART(._(TX|RX))|."" , ""$1 "")  )"),"")</f>
        <v/>
      </c>
      <c r="O101" s="9" t="str">
        <f>IFERROR(__xludf.DUMMYFUNCTION("TRIM(REGEXREPLACE(Q101 , ""DAC(._[^,$ ]+)|."" , ""$1 "")  )"),"")</f>
        <v/>
      </c>
      <c r="P101" s="9" t="str">
        <f>IFERROR(__xludf.DUMMYFUNCTION("TRIM(REGEXREPLACE(REGEXREPLACE(R101, "","", "" ""), ""(EVENTOUT|TRACECLK|TRACED.|SPI._[^ ]*|SAI._[^ ]*|ETH_[^ ]*|QUADSPI_[^ ]*|FMC_[^ ]*|UART._[^ ]*|FDCAN._[^ ]*|DFSDM._[^ ]*|OTG_[^ ]*|TIM\d+_[^ ]*)( |$)"", "" ""))"),"")</f>
        <v/>
      </c>
      <c r="Q101" s="14"/>
      <c r="R101" s="13"/>
    </row>
    <row r="102">
      <c r="J102" s="10"/>
      <c r="N102" s="9" t="str">
        <f>IFERROR(__xludf.DUMMYFUNCTION("TRIM(REGEXREPLACE(R102 , ""US?ART(._(TX|RX))|."" , ""$1 "")  )"),"")</f>
        <v/>
      </c>
      <c r="P102" s="9" t="str">
        <f>IFERROR(__xludf.DUMMYFUNCTION("TRIM(REGEXREPLACE(REGEXREPLACE(R102, "","", "" ""), ""(EVENTOUT|TRACECLK|TRACED.|SPI._[^ ]*|SAI._[^ ]*|ETH_[^ ]*|QUADSPI_[^ ]*|FMC_[^ ]*|UART._[^ ]*|FDCAN._[^ ]*|DFSDM._[^ ]*|OTG_[^ ]*|TIM\d+_[^ ]*)( |$)"", "" ""))"),"")</f>
        <v/>
      </c>
      <c r="Q102" s="14"/>
      <c r="R102" s="13"/>
    </row>
    <row r="103">
      <c r="C103" s="15" t="s">
        <v>75</v>
      </c>
      <c r="J103" s="10"/>
      <c r="N103" s="9" t="str">
        <f>IFERROR(__xludf.DUMMYFUNCTION("TRIM(REGEXREPLACE(R103 , ""US?ART(._(TX|RX))|."" , ""$1 "")  )"),"")</f>
        <v/>
      </c>
      <c r="P103" s="9" t="str">
        <f>IFERROR(__xludf.DUMMYFUNCTION("TRIM(REGEXREPLACE(REGEXREPLACE(R103, "","", "" ""), ""(EVENTOUT|TRACECLK|TRACED.|SPI._[^ ]*|SAI._[^ ]*|ETH_[^ ]*|QUADSPI_[^ ]*|FMC_[^ ]*|UART._[^ ]*|FDCAN._[^ ]*|DFSDM._[^ ]*|OTG_[^ ]*|TIM\d+_[^ ]*)( |$)"", "" ""))"),"")</f>
        <v/>
      </c>
      <c r="Q103" s="14"/>
      <c r="R103" s="13"/>
    </row>
    <row r="104">
      <c r="J104" s="10"/>
      <c r="N104" s="9" t="str">
        <f>IFERROR(__xludf.DUMMYFUNCTION("TRIM(REGEXREPLACE(R104 , ""US?ART(._(TX|RX))|."" , ""$1 "")  )"),"")</f>
        <v/>
      </c>
      <c r="P104" s="9" t="str">
        <f>IFERROR(__xludf.DUMMYFUNCTION("TRIM(REGEXREPLACE(REGEXREPLACE(R104, "","", "" ""), ""(EVENTOUT|TRACECLK|TRACED.|SPI._[^ ]*|SAI._[^ ]*|ETH_[^ ]*|QUADSPI_[^ ]*|FMC_[^ ]*|UART._[^ ]*|FDCAN._[^ ]*|DFSDM._[^ ]*|OTG_[^ ]*|TIM\d+_[^ ]*)( |$)"", "" ""))"),"")</f>
        <v/>
      </c>
      <c r="Q104" s="14"/>
      <c r="R104" s="13"/>
    </row>
    <row r="105">
      <c r="J105" s="10"/>
      <c r="P105" s="9" t="str">
        <f>IFERROR(__xludf.DUMMYFUNCTION("TRIM(REGEXREPLACE(REGEXREPLACE(R105, "","", "" ""), ""(EVENTOUT|TRACECLK|TRACED.|SPI._[^ ]*|SAI._[^ ]*|ETH_[^ ]*|QUADSPI_[^ ]*|FMC_[^ ]*|UART._[^ ]*|FDCAN._[^ ]*|DFSDM._[^ ]*|OTG_[^ ]*|TIM\d+_[^ ]*)( |$)"", "" ""))"),"")</f>
        <v/>
      </c>
      <c r="Q105" s="14"/>
      <c r="R105" s="13"/>
    </row>
    <row r="106">
      <c r="J106" s="10"/>
      <c r="Q106" s="14"/>
      <c r="R106" s="13"/>
    </row>
    <row r="107">
      <c r="J107" s="10"/>
      <c r="Q107" s="14"/>
      <c r="R107" s="13"/>
    </row>
    <row r="108">
      <c r="J108" s="10"/>
      <c r="Q108" s="14"/>
      <c r="R108" s="13"/>
    </row>
    <row r="109">
      <c r="J109" s="10"/>
      <c r="Q109" s="14"/>
      <c r="R109" s="13"/>
    </row>
    <row r="110">
      <c r="J110" s="10"/>
      <c r="Q110" s="14"/>
      <c r="R110" s="13"/>
    </row>
    <row r="111">
      <c r="J111" s="10"/>
      <c r="Q111" s="14"/>
      <c r="R111" s="13"/>
    </row>
    <row r="112">
      <c r="J112" s="10"/>
      <c r="Q112" s="14"/>
      <c r="R112" s="13"/>
    </row>
    <row r="113">
      <c r="J113" s="10"/>
      <c r="Q113" s="14"/>
      <c r="R113" s="13"/>
    </row>
    <row r="114">
      <c r="J114" s="10"/>
      <c r="Q114" s="14"/>
      <c r="R114" s="13"/>
    </row>
    <row r="115">
      <c r="J115" s="10"/>
      <c r="Q115" s="14"/>
      <c r="R115" s="13"/>
    </row>
    <row r="116">
      <c r="J116" s="10"/>
      <c r="Q116" s="14"/>
      <c r="R116" s="13"/>
    </row>
    <row r="117">
      <c r="J117" s="10"/>
      <c r="Q117" s="14"/>
      <c r="R117" s="13"/>
    </row>
    <row r="118">
      <c r="J118" s="10"/>
      <c r="Q118" s="14"/>
      <c r="R118" s="13"/>
    </row>
    <row r="119">
      <c r="J119" s="10"/>
      <c r="Q119" s="14"/>
      <c r="R119" s="13"/>
    </row>
    <row r="120">
      <c r="J120" s="10"/>
      <c r="Q120" s="14"/>
      <c r="R120" s="13"/>
    </row>
    <row r="121">
      <c r="J121" s="10"/>
      <c r="Q121" s="14"/>
      <c r="R121" s="13"/>
    </row>
    <row r="122">
      <c r="J122" s="10"/>
      <c r="Q122" s="14"/>
      <c r="R122" s="13"/>
    </row>
    <row r="123">
      <c r="J123" s="10"/>
      <c r="Q123" s="14"/>
      <c r="R123" s="13"/>
    </row>
    <row r="124">
      <c r="J124" s="10"/>
      <c r="Q124" s="14"/>
      <c r="R124" s="13"/>
    </row>
    <row r="125">
      <c r="J125" s="10"/>
      <c r="Q125" s="14"/>
      <c r="R125" s="13"/>
    </row>
    <row r="126">
      <c r="J126" s="10"/>
      <c r="Q126" s="14"/>
      <c r="R126" s="13"/>
    </row>
    <row r="127">
      <c r="J127" s="10"/>
      <c r="Q127" s="14"/>
      <c r="R127" s="13"/>
    </row>
    <row r="128">
      <c r="J128" s="10"/>
      <c r="Q128" s="14"/>
      <c r="R128" s="13"/>
    </row>
    <row r="129">
      <c r="J129" s="10"/>
      <c r="Q129" s="14"/>
      <c r="R129" s="13"/>
    </row>
    <row r="130">
      <c r="J130" s="10"/>
      <c r="Q130" s="14"/>
      <c r="R130" s="13"/>
    </row>
    <row r="131">
      <c r="J131" s="10"/>
      <c r="Q131" s="14"/>
      <c r="R131" s="13"/>
    </row>
    <row r="132">
      <c r="J132" s="10"/>
      <c r="Q132" s="14"/>
      <c r="R132" s="13"/>
    </row>
    <row r="133">
      <c r="J133" s="10"/>
      <c r="Q133" s="14"/>
      <c r="R133" s="13"/>
    </row>
    <row r="134">
      <c r="J134" s="10"/>
      <c r="Q134" s="14"/>
      <c r="R134" s="13"/>
    </row>
    <row r="135">
      <c r="J135" s="10"/>
      <c r="Q135" s="14"/>
      <c r="R135" s="13"/>
    </row>
    <row r="136">
      <c r="J136" s="10"/>
      <c r="Q136" s="14"/>
      <c r="R136" s="13"/>
    </row>
    <row r="137">
      <c r="J137" s="10"/>
      <c r="Q137" s="14"/>
      <c r="R137" s="13"/>
    </row>
    <row r="138">
      <c r="J138" s="10"/>
      <c r="Q138" s="14"/>
      <c r="R138" s="13"/>
    </row>
    <row r="139">
      <c r="J139" s="10"/>
      <c r="Q139" s="14"/>
      <c r="R139" s="13"/>
    </row>
    <row r="140">
      <c r="J140" s="10"/>
      <c r="Q140" s="14"/>
      <c r="R140" s="13"/>
    </row>
    <row r="141">
      <c r="J141" s="10"/>
      <c r="Q141" s="14"/>
      <c r="R141" s="13"/>
    </row>
    <row r="142">
      <c r="J142" s="10"/>
      <c r="Q142" s="14"/>
      <c r="R142" s="13"/>
    </row>
    <row r="143">
      <c r="J143" s="10"/>
      <c r="Q143" s="14"/>
      <c r="R143" s="13"/>
    </row>
    <row r="144">
      <c r="J144" s="10"/>
      <c r="Q144" s="14"/>
      <c r="R144" s="13"/>
    </row>
    <row r="145">
      <c r="J145" s="10"/>
      <c r="Q145" s="14"/>
      <c r="R145" s="13"/>
    </row>
    <row r="146">
      <c r="J146" s="10"/>
      <c r="Q146" s="14"/>
      <c r="R146" s="13"/>
    </row>
    <row r="147">
      <c r="J147" s="10"/>
      <c r="Q147" s="14"/>
      <c r="R147" s="13"/>
    </row>
    <row r="148">
      <c r="J148" s="10"/>
      <c r="Q148" s="14"/>
      <c r="R148" s="13"/>
    </row>
    <row r="149">
      <c r="J149" s="10"/>
      <c r="Q149" s="14"/>
      <c r="R149" s="13"/>
    </row>
    <row r="150">
      <c r="J150" s="10"/>
      <c r="Q150" s="14"/>
      <c r="R150" s="13"/>
    </row>
    <row r="151">
      <c r="J151" s="10"/>
      <c r="Q151" s="14"/>
      <c r="R151" s="13"/>
    </row>
    <row r="152">
      <c r="J152" s="10"/>
      <c r="Q152" s="14"/>
      <c r="R152" s="13"/>
    </row>
    <row r="153">
      <c r="J153" s="10"/>
      <c r="Q153" s="14"/>
      <c r="R153" s="13"/>
    </row>
    <row r="154">
      <c r="J154" s="10"/>
      <c r="Q154" s="14"/>
      <c r="R154" s="13"/>
    </row>
    <row r="155">
      <c r="J155" s="10"/>
      <c r="Q155" s="14"/>
      <c r="R155" s="13"/>
    </row>
    <row r="156">
      <c r="J156" s="10"/>
      <c r="Q156" s="14"/>
      <c r="R156" s="13"/>
    </row>
    <row r="157">
      <c r="J157" s="10"/>
      <c r="Q157" s="14"/>
      <c r="R157" s="13"/>
    </row>
    <row r="158">
      <c r="J158" s="10"/>
      <c r="Q158" s="14"/>
      <c r="R158" s="13"/>
    </row>
    <row r="159">
      <c r="J159" s="10"/>
      <c r="Q159" s="14"/>
      <c r="R159" s="13"/>
    </row>
    <row r="160">
      <c r="J160" s="10"/>
      <c r="Q160" s="14"/>
      <c r="R160" s="13"/>
    </row>
    <row r="161">
      <c r="J161" s="10"/>
      <c r="Q161" s="14"/>
      <c r="R161" s="13"/>
    </row>
    <row r="162">
      <c r="J162" s="10"/>
      <c r="Q162" s="14"/>
      <c r="R162" s="13"/>
    </row>
    <row r="163">
      <c r="J163" s="10"/>
      <c r="Q163" s="14"/>
      <c r="R163" s="13"/>
    </row>
    <row r="164">
      <c r="J164" s="10"/>
      <c r="Q164" s="14"/>
      <c r="R164" s="13"/>
    </row>
    <row r="165">
      <c r="J165" s="10"/>
      <c r="Q165" s="14"/>
      <c r="R165" s="13"/>
    </row>
    <row r="166">
      <c r="J166" s="10"/>
      <c r="Q166" s="14"/>
      <c r="R166" s="13"/>
    </row>
    <row r="167">
      <c r="J167" s="10"/>
      <c r="Q167" s="14"/>
      <c r="R167" s="13"/>
    </row>
    <row r="168">
      <c r="J168" s="10"/>
      <c r="Q168" s="14"/>
      <c r="R168" s="13"/>
    </row>
    <row r="169">
      <c r="J169" s="10"/>
      <c r="Q169" s="14"/>
      <c r="R169" s="13"/>
    </row>
    <row r="170">
      <c r="J170" s="10"/>
      <c r="Q170" s="14"/>
      <c r="R170" s="13"/>
    </row>
    <row r="171">
      <c r="J171" s="10"/>
      <c r="Q171" s="14"/>
      <c r="R171" s="13"/>
    </row>
    <row r="172">
      <c r="J172" s="10"/>
      <c r="Q172" s="14"/>
      <c r="R172" s="13"/>
    </row>
    <row r="173">
      <c r="J173" s="10"/>
      <c r="Q173" s="14"/>
      <c r="R173" s="13"/>
    </row>
    <row r="174">
      <c r="J174" s="10"/>
      <c r="Q174" s="14"/>
      <c r="R174" s="13"/>
    </row>
    <row r="175">
      <c r="J175" s="10"/>
      <c r="Q175" s="14"/>
      <c r="R175" s="13"/>
    </row>
    <row r="176">
      <c r="J176" s="10"/>
      <c r="Q176" s="14"/>
      <c r="R176" s="13"/>
    </row>
    <row r="177">
      <c r="J177" s="10"/>
      <c r="Q177" s="14"/>
      <c r="R177" s="13"/>
    </row>
    <row r="178">
      <c r="J178" s="10"/>
      <c r="Q178" s="14"/>
      <c r="R178" s="13"/>
    </row>
    <row r="179">
      <c r="J179" s="10"/>
      <c r="Q179" s="14"/>
      <c r="R179" s="13"/>
    </row>
    <row r="180">
      <c r="J180" s="10"/>
      <c r="Q180" s="14"/>
      <c r="R180" s="13"/>
    </row>
    <row r="181">
      <c r="J181" s="10"/>
      <c r="Q181" s="14"/>
      <c r="R181" s="13"/>
    </row>
    <row r="182">
      <c r="J182" s="10"/>
      <c r="Q182" s="14"/>
      <c r="R182" s="13"/>
    </row>
    <row r="183">
      <c r="J183" s="10"/>
      <c r="Q183" s="14"/>
      <c r="R183" s="13"/>
    </row>
    <row r="184">
      <c r="J184" s="10"/>
      <c r="Q184" s="14"/>
      <c r="R184" s="13"/>
    </row>
    <row r="185">
      <c r="J185" s="10"/>
      <c r="Q185" s="14"/>
      <c r="R185" s="13"/>
    </row>
    <row r="186">
      <c r="J186" s="10"/>
      <c r="Q186" s="14"/>
      <c r="R186" s="13"/>
    </row>
    <row r="187">
      <c r="J187" s="10"/>
      <c r="Q187" s="14"/>
      <c r="R187" s="13"/>
    </row>
    <row r="188">
      <c r="J188" s="10"/>
      <c r="Q188" s="14"/>
      <c r="R188" s="13"/>
    </row>
    <row r="189">
      <c r="J189" s="10"/>
      <c r="Q189" s="14"/>
      <c r="R189" s="13"/>
    </row>
    <row r="190">
      <c r="J190" s="10"/>
      <c r="Q190" s="14"/>
      <c r="R190" s="13"/>
    </row>
    <row r="191">
      <c r="J191" s="10"/>
      <c r="Q191" s="14"/>
      <c r="R191" s="13"/>
    </row>
    <row r="192">
      <c r="J192" s="10"/>
      <c r="Q192" s="14"/>
      <c r="R192" s="13"/>
    </row>
    <row r="193">
      <c r="J193" s="10"/>
      <c r="Q193" s="14"/>
      <c r="R193" s="13"/>
    </row>
    <row r="194">
      <c r="J194" s="10"/>
      <c r="Q194" s="14"/>
      <c r="R194" s="13"/>
    </row>
    <row r="195">
      <c r="J195" s="10"/>
      <c r="Q195" s="14"/>
      <c r="R195" s="13"/>
    </row>
    <row r="196">
      <c r="J196" s="10"/>
      <c r="Q196" s="14"/>
      <c r="R196" s="13"/>
    </row>
    <row r="197">
      <c r="J197" s="10"/>
      <c r="Q197" s="14"/>
      <c r="R197" s="13"/>
    </row>
    <row r="198">
      <c r="J198" s="10"/>
      <c r="Q198" s="14"/>
      <c r="R198" s="13"/>
    </row>
    <row r="199">
      <c r="J199" s="10"/>
      <c r="Q199" s="14"/>
      <c r="R199" s="13"/>
    </row>
    <row r="200">
      <c r="J200" s="10"/>
      <c r="Q200" s="14"/>
      <c r="R200" s="13"/>
    </row>
    <row r="201">
      <c r="J201" s="10"/>
      <c r="Q201" s="14"/>
      <c r="R201" s="13"/>
    </row>
    <row r="202">
      <c r="J202" s="10"/>
      <c r="Q202" s="14"/>
      <c r="R202" s="13"/>
    </row>
    <row r="203">
      <c r="J203" s="10"/>
      <c r="Q203" s="14"/>
      <c r="R203" s="13"/>
    </row>
    <row r="204">
      <c r="J204" s="10"/>
      <c r="Q204" s="14"/>
      <c r="R204" s="13"/>
    </row>
    <row r="205">
      <c r="J205" s="10"/>
      <c r="Q205" s="14"/>
      <c r="R205" s="13"/>
    </row>
    <row r="206">
      <c r="J206" s="10"/>
      <c r="Q206" s="14"/>
      <c r="R206" s="13"/>
    </row>
    <row r="207">
      <c r="J207" s="10"/>
      <c r="Q207" s="14"/>
      <c r="R207" s="13"/>
    </row>
    <row r="208">
      <c r="J208" s="10"/>
      <c r="Q208" s="14"/>
      <c r="R208" s="13"/>
    </row>
    <row r="209">
      <c r="J209" s="10"/>
      <c r="Q209" s="14"/>
      <c r="R209" s="13"/>
    </row>
    <row r="210">
      <c r="J210" s="10"/>
      <c r="Q210" s="14"/>
      <c r="R210" s="13"/>
    </row>
    <row r="211">
      <c r="J211" s="10"/>
      <c r="Q211" s="14"/>
      <c r="R211" s="13"/>
    </row>
    <row r="212">
      <c r="J212" s="10"/>
      <c r="Q212" s="14"/>
      <c r="R212" s="13"/>
    </row>
    <row r="213">
      <c r="J213" s="10"/>
      <c r="Q213" s="14"/>
      <c r="R213" s="13"/>
    </row>
    <row r="214">
      <c r="J214" s="10"/>
      <c r="Q214" s="14"/>
      <c r="R214" s="13"/>
    </row>
    <row r="215">
      <c r="J215" s="10"/>
      <c r="Q215" s="14"/>
      <c r="R215" s="13"/>
    </row>
    <row r="216">
      <c r="J216" s="10"/>
      <c r="Q216" s="14"/>
      <c r="R216" s="13"/>
    </row>
    <row r="217">
      <c r="J217" s="10"/>
      <c r="Q217" s="14"/>
      <c r="R217" s="13"/>
    </row>
    <row r="218">
      <c r="J218" s="10"/>
      <c r="Q218" s="14"/>
      <c r="R218" s="13"/>
    </row>
    <row r="219">
      <c r="J219" s="10"/>
      <c r="Q219" s="14"/>
      <c r="R219" s="13"/>
    </row>
    <row r="220">
      <c r="J220" s="10"/>
      <c r="Q220" s="14"/>
      <c r="R220" s="13"/>
    </row>
    <row r="221">
      <c r="J221" s="10"/>
      <c r="Q221" s="14"/>
      <c r="R221" s="13"/>
    </row>
    <row r="222">
      <c r="J222" s="10"/>
      <c r="Q222" s="14"/>
      <c r="R222" s="13"/>
    </row>
    <row r="223">
      <c r="J223" s="10"/>
      <c r="Q223" s="14"/>
      <c r="R223" s="13"/>
    </row>
    <row r="224">
      <c r="J224" s="10"/>
      <c r="Q224" s="14"/>
      <c r="R224" s="13"/>
    </row>
    <row r="225">
      <c r="J225" s="10"/>
      <c r="Q225" s="14"/>
      <c r="R225" s="13"/>
    </row>
    <row r="226">
      <c r="J226" s="10"/>
      <c r="Q226" s="14"/>
      <c r="R226" s="13"/>
    </row>
    <row r="227">
      <c r="J227" s="10"/>
      <c r="Q227" s="14"/>
      <c r="R227" s="13"/>
    </row>
    <row r="228">
      <c r="J228" s="10"/>
      <c r="Q228" s="14"/>
      <c r="R228" s="13"/>
    </row>
    <row r="229">
      <c r="J229" s="10"/>
      <c r="Q229" s="14"/>
      <c r="R229" s="13"/>
    </row>
    <row r="230">
      <c r="J230" s="10"/>
      <c r="Q230" s="14"/>
      <c r="R230" s="13"/>
    </row>
    <row r="231">
      <c r="J231" s="10"/>
      <c r="Q231" s="14"/>
      <c r="R231" s="13"/>
    </row>
    <row r="232">
      <c r="J232" s="10"/>
      <c r="Q232" s="14"/>
      <c r="R232" s="13"/>
    </row>
    <row r="233">
      <c r="J233" s="10"/>
      <c r="Q233" s="14"/>
      <c r="R233" s="13"/>
    </row>
    <row r="234">
      <c r="J234" s="10"/>
      <c r="Q234" s="14"/>
      <c r="R234" s="13"/>
    </row>
    <row r="235">
      <c r="J235" s="10"/>
      <c r="Q235" s="14"/>
      <c r="R235" s="13"/>
    </row>
    <row r="236">
      <c r="J236" s="10"/>
      <c r="Q236" s="14"/>
      <c r="R236" s="13"/>
    </row>
    <row r="237">
      <c r="J237" s="10"/>
      <c r="Q237" s="14"/>
      <c r="R237" s="13"/>
    </row>
    <row r="238">
      <c r="J238" s="10"/>
      <c r="Q238" s="14"/>
      <c r="R238" s="13"/>
    </row>
    <row r="239">
      <c r="J239" s="10"/>
      <c r="Q239" s="14"/>
      <c r="R239" s="13"/>
    </row>
    <row r="240">
      <c r="J240" s="10"/>
      <c r="Q240" s="14"/>
      <c r="R240" s="13"/>
    </row>
    <row r="241">
      <c r="J241" s="10"/>
      <c r="Q241" s="14"/>
      <c r="R241" s="13"/>
    </row>
    <row r="242">
      <c r="J242" s="10"/>
      <c r="Q242" s="14"/>
      <c r="R242" s="13"/>
    </row>
    <row r="243">
      <c r="J243" s="10"/>
      <c r="Q243" s="14"/>
      <c r="R243" s="13"/>
    </row>
    <row r="244">
      <c r="J244" s="10"/>
      <c r="Q244" s="14"/>
      <c r="R244" s="13"/>
    </row>
    <row r="245">
      <c r="J245" s="10"/>
      <c r="Q245" s="14"/>
      <c r="R245" s="13"/>
    </row>
    <row r="246">
      <c r="J246" s="10"/>
      <c r="Q246" s="14"/>
      <c r="R246" s="13"/>
    </row>
    <row r="247">
      <c r="J247" s="10"/>
      <c r="Q247" s="14"/>
      <c r="R247" s="13"/>
    </row>
    <row r="248">
      <c r="J248" s="10"/>
      <c r="Q248" s="14"/>
      <c r="R248" s="13"/>
    </row>
    <row r="249">
      <c r="J249" s="10"/>
      <c r="Q249" s="14"/>
      <c r="R249" s="13"/>
    </row>
    <row r="250">
      <c r="J250" s="10"/>
      <c r="Q250" s="14"/>
      <c r="R250" s="13"/>
    </row>
    <row r="251">
      <c r="J251" s="10"/>
      <c r="Q251" s="14"/>
      <c r="R251" s="13"/>
    </row>
    <row r="252">
      <c r="J252" s="10"/>
      <c r="Q252" s="14"/>
      <c r="R252" s="13"/>
    </row>
    <row r="253">
      <c r="J253" s="10"/>
      <c r="Q253" s="14"/>
      <c r="R253" s="13"/>
    </row>
    <row r="254">
      <c r="J254" s="10"/>
      <c r="Q254" s="14"/>
      <c r="R254" s="13"/>
    </row>
    <row r="255">
      <c r="J255" s="10"/>
      <c r="Q255" s="14"/>
      <c r="R255" s="13"/>
    </row>
    <row r="256">
      <c r="J256" s="10"/>
      <c r="Q256" s="14"/>
      <c r="R256" s="13"/>
    </row>
    <row r="257">
      <c r="J257" s="10"/>
      <c r="Q257" s="14"/>
      <c r="R257" s="13"/>
    </row>
    <row r="258">
      <c r="J258" s="10"/>
      <c r="Q258" s="14"/>
      <c r="R258" s="13"/>
    </row>
    <row r="259">
      <c r="J259" s="10"/>
      <c r="Q259" s="14"/>
      <c r="R259" s="13"/>
    </row>
    <row r="260">
      <c r="J260" s="10"/>
      <c r="Q260" s="14"/>
      <c r="R260" s="13"/>
    </row>
    <row r="261">
      <c r="J261" s="10"/>
      <c r="Q261" s="14"/>
      <c r="R261" s="13"/>
    </row>
    <row r="262">
      <c r="J262" s="10"/>
      <c r="Q262" s="14"/>
      <c r="R262" s="13"/>
    </row>
    <row r="263">
      <c r="J263" s="10"/>
      <c r="Q263" s="14"/>
      <c r="R263" s="13"/>
    </row>
    <row r="264">
      <c r="J264" s="10"/>
      <c r="Q264" s="14"/>
      <c r="R264" s="13"/>
    </row>
    <row r="265">
      <c r="J265" s="10"/>
      <c r="Q265" s="14"/>
      <c r="R265" s="13"/>
    </row>
    <row r="266">
      <c r="J266" s="10"/>
      <c r="Q266" s="14"/>
      <c r="R266" s="13"/>
    </row>
    <row r="267">
      <c r="J267" s="10"/>
      <c r="Q267" s="14"/>
      <c r="R267" s="13"/>
    </row>
    <row r="268">
      <c r="J268" s="10"/>
      <c r="Q268" s="14"/>
      <c r="R268" s="13"/>
    </row>
    <row r="269">
      <c r="J269" s="10"/>
      <c r="Q269" s="14"/>
      <c r="R269" s="13"/>
    </row>
    <row r="270">
      <c r="J270" s="10"/>
      <c r="Q270" s="14"/>
      <c r="R270" s="13"/>
    </row>
    <row r="271">
      <c r="J271" s="10"/>
      <c r="Q271" s="14"/>
      <c r="R271" s="13"/>
    </row>
    <row r="272">
      <c r="J272" s="10"/>
      <c r="Q272" s="14"/>
      <c r="R272" s="13"/>
    </row>
    <row r="273">
      <c r="J273" s="10"/>
      <c r="Q273" s="14"/>
      <c r="R273" s="13"/>
    </row>
    <row r="274">
      <c r="J274" s="10"/>
      <c r="Q274" s="14"/>
      <c r="R274" s="13"/>
    </row>
    <row r="275">
      <c r="J275" s="10"/>
      <c r="Q275" s="14"/>
      <c r="R275" s="13"/>
    </row>
    <row r="276">
      <c r="J276" s="10"/>
      <c r="Q276" s="14"/>
      <c r="R276" s="13"/>
    </row>
    <row r="277">
      <c r="J277" s="10"/>
      <c r="Q277" s="14"/>
      <c r="R277" s="13"/>
    </row>
    <row r="278">
      <c r="J278" s="10"/>
      <c r="Q278" s="14"/>
      <c r="R278" s="13"/>
    </row>
    <row r="279">
      <c r="J279" s="10"/>
      <c r="Q279" s="14"/>
      <c r="R279" s="13"/>
    </row>
    <row r="280">
      <c r="J280" s="10"/>
      <c r="Q280" s="14"/>
      <c r="R280" s="13"/>
    </row>
    <row r="281">
      <c r="J281" s="10"/>
      <c r="Q281" s="14"/>
      <c r="R281" s="13"/>
    </row>
    <row r="282">
      <c r="J282" s="10"/>
      <c r="Q282" s="14"/>
      <c r="R282" s="13"/>
    </row>
    <row r="283">
      <c r="J283" s="10"/>
      <c r="Q283" s="14"/>
      <c r="R283" s="13"/>
    </row>
    <row r="284">
      <c r="J284" s="10"/>
      <c r="Q284" s="14"/>
      <c r="R284" s="13"/>
    </row>
    <row r="285">
      <c r="J285" s="10"/>
      <c r="Q285" s="14"/>
      <c r="R285" s="13"/>
    </row>
    <row r="286">
      <c r="J286" s="10"/>
      <c r="Q286" s="14"/>
      <c r="R286" s="13"/>
    </row>
    <row r="287">
      <c r="J287" s="10"/>
      <c r="Q287" s="14"/>
      <c r="R287" s="13"/>
    </row>
    <row r="288">
      <c r="J288" s="10"/>
      <c r="Q288" s="14"/>
      <c r="R288" s="13"/>
    </row>
    <row r="289">
      <c r="J289" s="10"/>
      <c r="Q289" s="14"/>
      <c r="R289" s="13"/>
    </row>
    <row r="290">
      <c r="J290" s="10"/>
      <c r="Q290" s="14"/>
      <c r="R290" s="13"/>
    </row>
    <row r="291">
      <c r="J291" s="10"/>
      <c r="Q291" s="14"/>
      <c r="R291" s="13"/>
    </row>
    <row r="292">
      <c r="J292" s="10"/>
      <c r="Q292" s="14"/>
      <c r="R292" s="13"/>
    </row>
    <row r="293">
      <c r="J293" s="10"/>
      <c r="Q293" s="14"/>
      <c r="R293" s="13"/>
    </row>
    <row r="294">
      <c r="J294" s="10"/>
      <c r="Q294" s="14"/>
      <c r="R294" s="13"/>
    </row>
    <row r="295">
      <c r="J295" s="10"/>
      <c r="Q295" s="14"/>
      <c r="R295" s="13"/>
    </row>
    <row r="296">
      <c r="J296" s="10"/>
      <c r="Q296" s="14"/>
      <c r="R296" s="13"/>
    </row>
    <row r="297">
      <c r="J297" s="10"/>
      <c r="Q297" s="14"/>
      <c r="R297" s="13"/>
    </row>
    <row r="298">
      <c r="J298" s="10"/>
      <c r="Q298" s="14"/>
      <c r="R298" s="13"/>
    </row>
    <row r="299">
      <c r="J299" s="10"/>
      <c r="Q299" s="14"/>
      <c r="R299" s="13"/>
    </row>
    <row r="300">
      <c r="J300" s="10"/>
      <c r="Q300" s="14"/>
      <c r="R300" s="13"/>
    </row>
    <row r="301">
      <c r="J301" s="10"/>
      <c r="Q301" s="14"/>
      <c r="R301" s="13"/>
    </row>
    <row r="302">
      <c r="J302" s="10"/>
      <c r="Q302" s="14"/>
      <c r="R302" s="13"/>
    </row>
    <row r="303">
      <c r="J303" s="10"/>
      <c r="Q303" s="14"/>
      <c r="R303" s="13"/>
    </row>
    <row r="304">
      <c r="J304" s="10"/>
      <c r="Q304" s="14"/>
      <c r="R304" s="13"/>
    </row>
    <row r="305">
      <c r="J305" s="10"/>
      <c r="Q305" s="14"/>
      <c r="R305" s="13"/>
    </row>
    <row r="306">
      <c r="J306" s="10"/>
      <c r="Q306" s="14"/>
      <c r="R306" s="13"/>
    </row>
    <row r="307">
      <c r="J307" s="10"/>
      <c r="Q307" s="14"/>
      <c r="R307" s="13"/>
    </row>
    <row r="308">
      <c r="J308" s="10"/>
      <c r="Q308" s="14"/>
      <c r="R308" s="13"/>
    </row>
    <row r="309">
      <c r="J309" s="10"/>
      <c r="Q309" s="14"/>
      <c r="R309" s="13"/>
    </row>
    <row r="310">
      <c r="J310" s="10"/>
      <c r="Q310" s="14"/>
      <c r="R310" s="13"/>
    </row>
    <row r="311">
      <c r="J311" s="10"/>
      <c r="Q311" s="14"/>
      <c r="R311" s="13"/>
    </row>
    <row r="312">
      <c r="J312" s="10"/>
      <c r="Q312" s="14"/>
      <c r="R312" s="13"/>
    </row>
    <row r="313">
      <c r="J313" s="10"/>
      <c r="Q313" s="14"/>
      <c r="R313" s="13"/>
    </row>
    <row r="314">
      <c r="J314" s="10"/>
      <c r="Q314" s="14"/>
      <c r="R314" s="13"/>
    </row>
    <row r="315">
      <c r="J315" s="10"/>
      <c r="Q315" s="14"/>
      <c r="R315" s="13"/>
    </row>
    <row r="316">
      <c r="J316" s="10"/>
      <c r="Q316" s="14"/>
      <c r="R316" s="13"/>
    </row>
    <row r="317">
      <c r="J317" s="10"/>
      <c r="Q317" s="14"/>
      <c r="R317" s="13"/>
    </row>
    <row r="318">
      <c r="J318" s="10"/>
      <c r="Q318" s="14"/>
      <c r="R318" s="13"/>
    </row>
    <row r="319">
      <c r="J319" s="10"/>
      <c r="Q319" s="14"/>
      <c r="R319" s="13"/>
    </row>
    <row r="320">
      <c r="J320" s="10"/>
      <c r="Q320" s="14"/>
      <c r="R320" s="13"/>
    </row>
    <row r="321">
      <c r="J321" s="10"/>
      <c r="Q321" s="14"/>
      <c r="R321" s="13"/>
    </row>
    <row r="322">
      <c r="J322" s="10"/>
      <c r="Q322" s="14"/>
      <c r="R322" s="13"/>
    </row>
    <row r="323">
      <c r="J323" s="10"/>
      <c r="Q323" s="14"/>
      <c r="R323" s="13"/>
    </row>
    <row r="324">
      <c r="J324" s="10"/>
      <c r="Q324" s="14"/>
      <c r="R324" s="13"/>
    </row>
    <row r="325">
      <c r="J325" s="10"/>
      <c r="Q325" s="14"/>
      <c r="R325" s="13"/>
    </row>
    <row r="326">
      <c r="J326" s="10"/>
      <c r="Q326" s="14"/>
      <c r="R326" s="13"/>
    </row>
    <row r="327">
      <c r="J327" s="10"/>
      <c r="Q327" s="14"/>
      <c r="R327" s="13"/>
    </row>
    <row r="328">
      <c r="J328" s="10"/>
      <c r="Q328" s="14"/>
      <c r="R328" s="13"/>
    </row>
    <row r="329">
      <c r="J329" s="10"/>
      <c r="Q329" s="14"/>
      <c r="R329" s="13"/>
    </row>
    <row r="330">
      <c r="J330" s="10"/>
      <c r="Q330" s="14"/>
      <c r="R330" s="13"/>
    </row>
    <row r="331">
      <c r="J331" s="10"/>
      <c r="Q331" s="14"/>
      <c r="R331" s="13"/>
    </row>
    <row r="332">
      <c r="J332" s="10"/>
      <c r="Q332" s="14"/>
      <c r="R332" s="13"/>
    </row>
    <row r="333">
      <c r="J333" s="10"/>
      <c r="Q333" s="14"/>
      <c r="R333" s="13"/>
    </row>
    <row r="334">
      <c r="J334" s="10"/>
      <c r="Q334" s="14"/>
      <c r="R334" s="13"/>
    </row>
    <row r="335">
      <c r="J335" s="10"/>
      <c r="Q335" s="14"/>
      <c r="R335" s="13"/>
    </row>
    <row r="336">
      <c r="J336" s="10"/>
      <c r="Q336" s="14"/>
      <c r="R336" s="13"/>
    </row>
    <row r="337">
      <c r="J337" s="10"/>
      <c r="Q337" s="14"/>
      <c r="R337" s="13"/>
    </row>
    <row r="338">
      <c r="J338" s="10"/>
      <c r="Q338" s="14"/>
      <c r="R338" s="13"/>
    </row>
    <row r="339">
      <c r="J339" s="10"/>
      <c r="Q339" s="14"/>
      <c r="R339" s="13"/>
    </row>
    <row r="340">
      <c r="J340" s="10"/>
      <c r="Q340" s="14"/>
      <c r="R340" s="13"/>
    </row>
    <row r="341">
      <c r="J341" s="10"/>
      <c r="Q341" s="14"/>
      <c r="R341" s="13"/>
    </row>
    <row r="342">
      <c r="J342" s="10"/>
      <c r="Q342" s="14"/>
      <c r="R342" s="13"/>
    </row>
    <row r="343">
      <c r="J343" s="10"/>
      <c r="Q343" s="14"/>
      <c r="R343" s="13"/>
    </row>
    <row r="344">
      <c r="J344" s="10"/>
      <c r="Q344" s="14"/>
      <c r="R344" s="13"/>
    </row>
    <row r="345">
      <c r="J345" s="10"/>
      <c r="Q345" s="14"/>
      <c r="R345" s="13"/>
    </row>
    <row r="346">
      <c r="J346" s="10"/>
      <c r="Q346" s="14"/>
      <c r="R346" s="13"/>
    </row>
    <row r="347">
      <c r="J347" s="10"/>
      <c r="Q347" s="14"/>
      <c r="R347" s="13"/>
    </row>
    <row r="348">
      <c r="J348" s="10"/>
      <c r="Q348" s="14"/>
      <c r="R348" s="13"/>
    </row>
    <row r="349">
      <c r="J349" s="10"/>
      <c r="Q349" s="14"/>
      <c r="R349" s="13"/>
    </row>
    <row r="350">
      <c r="J350" s="10"/>
      <c r="Q350" s="14"/>
      <c r="R350" s="13"/>
    </row>
    <row r="351">
      <c r="J351" s="10"/>
      <c r="Q351" s="14"/>
      <c r="R351" s="13"/>
    </row>
    <row r="352">
      <c r="J352" s="10"/>
      <c r="Q352" s="14"/>
      <c r="R352" s="13"/>
    </row>
    <row r="353">
      <c r="J353" s="10"/>
      <c r="Q353" s="14"/>
      <c r="R353" s="13"/>
    </row>
    <row r="354">
      <c r="J354" s="10"/>
      <c r="Q354" s="14"/>
      <c r="R354" s="13"/>
    </row>
    <row r="355">
      <c r="J355" s="10"/>
      <c r="Q355" s="14"/>
      <c r="R355" s="13"/>
    </row>
    <row r="356">
      <c r="J356" s="10"/>
      <c r="Q356" s="14"/>
      <c r="R356" s="13"/>
    </row>
    <row r="357">
      <c r="J357" s="10"/>
      <c r="Q357" s="14"/>
      <c r="R357" s="13"/>
    </row>
    <row r="358">
      <c r="J358" s="10"/>
      <c r="Q358" s="14"/>
      <c r="R358" s="13"/>
    </row>
    <row r="359">
      <c r="J359" s="10"/>
      <c r="Q359" s="14"/>
      <c r="R359" s="13"/>
    </row>
    <row r="360">
      <c r="J360" s="10"/>
      <c r="Q360" s="14"/>
      <c r="R360" s="13"/>
    </row>
    <row r="361">
      <c r="J361" s="10"/>
      <c r="Q361" s="14"/>
      <c r="R361" s="13"/>
    </row>
    <row r="362">
      <c r="J362" s="10"/>
      <c r="Q362" s="14"/>
      <c r="R362" s="13"/>
    </row>
    <row r="363">
      <c r="J363" s="10"/>
      <c r="Q363" s="14"/>
      <c r="R363" s="13"/>
    </row>
    <row r="364">
      <c r="J364" s="10"/>
      <c r="Q364" s="14"/>
      <c r="R364" s="13"/>
    </row>
    <row r="365">
      <c r="J365" s="10"/>
      <c r="Q365" s="14"/>
      <c r="R365" s="13"/>
    </row>
    <row r="366">
      <c r="J366" s="10"/>
      <c r="Q366" s="14"/>
      <c r="R366" s="13"/>
    </row>
    <row r="367">
      <c r="J367" s="10"/>
      <c r="Q367" s="14"/>
      <c r="R367" s="13"/>
    </row>
    <row r="368">
      <c r="J368" s="10"/>
      <c r="Q368" s="14"/>
      <c r="R368" s="13"/>
    </row>
    <row r="369">
      <c r="J369" s="10"/>
      <c r="Q369" s="14"/>
      <c r="R369" s="13"/>
    </row>
    <row r="370">
      <c r="J370" s="10"/>
      <c r="Q370" s="14"/>
      <c r="R370" s="13"/>
    </row>
    <row r="371">
      <c r="J371" s="10"/>
      <c r="Q371" s="14"/>
      <c r="R371" s="13"/>
    </row>
    <row r="372">
      <c r="J372" s="10"/>
      <c r="Q372" s="14"/>
      <c r="R372" s="13"/>
    </row>
    <row r="373">
      <c r="J373" s="10"/>
      <c r="Q373" s="14"/>
      <c r="R373" s="13"/>
    </row>
    <row r="374">
      <c r="J374" s="10"/>
      <c r="Q374" s="14"/>
      <c r="R374" s="13"/>
    </row>
    <row r="375">
      <c r="J375" s="10"/>
      <c r="Q375" s="14"/>
      <c r="R375" s="13"/>
    </row>
    <row r="376">
      <c r="J376" s="10"/>
      <c r="Q376" s="14"/>
      <c r="R376" s="13"/>
    </row>
    <row r="377">
      <c r="J377" s="10"/>
      <c r="Q377" s="14"/>
      <c r="R377" s="13"/>
    </row>
    <row r="378">
      <c r="J378" s="10"/>
      <c r="Q378" s="14"/>
      <c r="R378" s="13"/>
    </row>
    <row r="379">
      <c r="J379" s="10"/>
      <c r="Q379" s="14"/>
      <c r="R379" s="13"/>
    </row>
    <row r="380">
      <c r="J380" s="10"/>
      <c r="Q380" s="14"/>
      <c r="R380" s="13"/>
    </row>
    <row r="381">
      <c r="J381" s="10"/>
      <c r="Q381" s="14"/>
      <c r="R381" s="13"/>
    </row>
    <row r="382">
      <c r="J382" s="10"/>
      <c r="Q382" s="14"/>
      <c r="R382" s="13"/>
    </row>
    <row r="383">
      <c r="J383" s="10"/>
      <c r="Q383" s="14"/>
      <c r="R383" s="13"/>
    </row>
    <row r="384">
      <c r="J384" s="10"/>
      <c r="Q384" s="14"/>
      <c r="R384" s="13"/>
    </row>
    <row r="385">
      <c r="J385" s="10"/>
      <c r="Q385" s="14"/>
      <c r="R385" s="13"/>
    </row>
    <row r="386">
      <c r="J386" s="10"/>
      <c r="Q386" s="14"/>
      <c r="R386" s="13"/>
    </row>
    <row r="387">
      <c r="J387" s="10"/>
      <c r="Q387" s="14"/>
      <c r="R387" s="13"/>
    </row>
    <row r="388">
      <c r="J388" s="10"/>
      <c r="Q388" s="14"/>
      <c r="R388" s="13"/>
    </row>
    <row r="389">
      <c r="J389" s="10"/>
      <c r="Q389" s="14"/>
      <c r="R389" s="13"/>
    </row>
    <row r="390">
      <c r="J390" s="10"/>
      <c r="Q390" s="14"/>
      <c r="R390" s="13"/>
    </row>
    <row r="391">
      <c r="J391" s="10"/>
      <c r="Q391" s="14"/>
      <c r="R391" s="13"/>
    </row>
    <row r="392">
      <c r="J392" s="10"/>
      <c r="Q392" s="14"/>
      <c r="R392" s="13"/>
    </row>
    <row r="393">
      <c r="J393" s="10"/>
      <c r="Q393" s="14"/>
      <c r="R393" s="13"/>
    </row>
    <row r="394">
      <c r="J394" s="10"/>
      <c r="Q394" s="14"/>
      <c r="R394" s="13"/>
    </row>
    <row r="395">
      <c r="J395" s="10"/>
      <c r="Q395" s="14"/>
      <c r="R395" s="13"/>
    </row>
    <row r="396">
      <c r="J396" s="10"/>
      <c r="Q396" s="14"/>
      <c r="R396" s="13"/>
    </row>
    <row r="397">
      <c r="J397" s="10"/>
      <c r="Q397" s="14"/>
      <c r="R397" s="13"/>
    </row>
    <row r="398">
      <c r="J398" s="10"/>
      <c r="Q398" s="14"/>
      <c r="R398" s="13"/>
    </row>
    <row r="399">
      <c r="J399" s="10"/>
      <c r="Q399" s="14"/>
      <c r="R399" s="13"/>
    </row>
    <row r="400">
      <c r="J400" s="10"/>
      <c r="Q400" s="14"/>
      <c r="R400" s="13"/>
    </row>
    <row r="401">
      <c r="J401" s="10"/>
      <c r="Q401" s="14"/>
      <c r="R401" s="13"/>
    </row>
    <row r="402">
      <c r="J402" s="10"/>
      <c r="Q402" s="14"/>
      <c r="R402" s="13"/>
    </row>
    <row r="403">
      <c r="J403" s="10"/>
      <c r="Q403" s="14"/>
      <c r="R403" s="13"/>
    </row>
    <row r="404">
      <c r="J404" s="10"/>
      <c r="Q404" s="14"/>
      <c r="R404" s="13"/>
    </row>
    <row r="405">
      <c r="J405" s="10"/>
      <c r="Q405" s="14"/>
      <c r="R405" s="13"/>
    </row>
    <row r="406">
      <c r="J406" s="10"/>
      <c r="Q406" s="14"/>
      <c r="R406" s="13"/>
    </row>
    <row r="407">
      <c r="J407" s="10"/>
      <c r="Q407" s="14"/>
      <c r="R407" s="13"/>
    </row>
    <row r="408">
      <c r="J408" s="10"/>
      <c r="Q408" s="14"/>
      <c r="R408" s="13"/>
    </row>
    <row r="409">
      <c r="J409" s="10"/>
      <c r="Q409" s="14"/>
      <c r="R409" s="13"/>
    </row>
    <row r="410">
      <c r="J410" s="10"/>
      <c r="Q410" s="14"/>
      <c r="R410" s="13"/>
    </row>
    <row r="411">
      <c r="J411" s="10"/>
      <c r="Q411" s="14"/>
      <c r="R411" s="13"/>
    </row>
    <row r="412">
      <c r="J412" s="10"/>
      <c r="Q412" s="14"/>
      <c r="R412" s="13"/>
    </row>
    <row r="413">
      <c r="J413" s="10"/>
      <c r="Q413" s="14"/>
      <c r="R413" s="13"/>
    </row>
    <row r="414">
      <c r="J414" s="10"/>
      <c r="Q414" s="14"/>
      <c r="R414" s="13"/>
    </row>
    <row r="415">
      <c r="J415" s="10"/>
      <c r="Q415" s="14"/>
      <c r="R415" s="13"/>
    </row>
    <row r="416">
      <c r="J416" s="10"/>
      <c r="Q416" s="14"/>
      <c r="R416" s="13"/>
    </row>
    <row r="417">
      <c r="J417" s="10"/>
      <c r="Q417" s="14"/>
      <c r="R417" s="13"/>
    </row>
    <row r="418">
      <c r="J418" s="10"/>
      <c r="Q418" s="14"/>
      <c r="R418" s="13"/>
    </row>
    <row r="419">
      <c r="J419" s="10"/>
      <c r="Q419" s="14"/>
      <c r="R419" s="13"/>
    </row>
    <row r="420">
      <c r="J420" s="10"/>
      <c r="Q420" s="14"/>
      <c r="R420" s="13"/>
    </row>
    <row r="421">
      <c r="J421" s="10"/>
      <c r="Q421" s="14"/>
      <c r="R421" s="13"/>
    </row>
    <row r="422">
      <c r="J422" s="10"/>
      <c r="Q422" s="14"/>
      <c r="R422" s="13"/>
    </row>
    <row r="423">
      <c r="J423" s="10"/>
      <c r="Q423" s="14"/>
      <c r="R423" s="13"/>
    </row>
    <row r="424">
      <c r="J424" s="10"/>
      <c r="Q424" s="14"/>
      <c r="R424" s="13"/>
    </row>
    <row r="425">
      <c r="J425" s="10"/>
      <c r="Q425" s="14"/>
      <c r="R425" s="13"/>
    </row>
    <row r="426">
      <c r="J426" s="10"/>
      <c r="Q426" s="14"/>
      <c r="R426" s="13"/>
    </row>
    <row r="427">
      <c r="J427" s="10"/>
      <c r="Q427" s="14"/>
      <c r="R427" s="13"/>
    </row>
    <row r="428">
      <c r="J428" s="10"/>
      <c r="Q428" s="14"/>
      <c r="R428" s="13"/>
    </row>
    <row r="429">
      <c r="J429" s="10"/>
      <c r="Q429" s="14"/>
      <c r="R429" s="13"/>
    </row>
    <row r="430">
      <c r="J430" s="10"/>
      <c r="Q430" s="14"/>
      <c r="R430" s="13"/>
    </row>
    <row r="431">
      <c r="J431" s="10"/>
      <c r="Q431" s="14"/>
      <c r="R431" s="13"/>
    </row>
    <row r="432">
      <c r="J432" s="10"/>
      <c r="Q432" s="14"/>
      <c r="R432" s="13"/>
    </row>
    <row r="433">
      <c r="J433" s="10"/>
      <c r="Q433" s="14"/>
      <c r="R433" s="13"/>
    </row>
    <row r="434">
      <c r="J434" s="10"/>
      <c r="Q434" s="14"/>
      <c r="R434" s="13"/>
    </row>
    <row r="435">
      <c r="J435" s="10"/>
      <c r="Q435" s="14"/>
      <c r="R435" s="13"/>
    </row>
    <row r="436">
      <c r="J436" s="10"/>
      <c r="Q436" s="14"/>
      <c r="R436" s="13"/>
    </row>
    <row r="437">
      <c r="J437" s="10"/>
      <c r="Q437" s="14"/>
      <c r="R437" s="13"/>
    </row>
    <row r="438">
      <c r="J438" s="10"/>
      <c r="Q438" s="14"/>
      <c r="R438" s="13"/>
    </row>
    <row r="439">
      <c r="J439" s="10"/>
      <c r="Q439" s="14"/>
      <c r="R439" s="13"/>
    </row>
    <row r="440">
      <c r="J440" s="10"/>
      <c r="Q440" s="14"/>
      <c r="R440" s="13"/>
    </row>
    <row r="441">
      <c r="J441" s="10"/>
      <c r="Q441" s="14"/>
      <c r="R441" s="13"/>
    </row>
    <row r="442">
      <c r="J442" s="10"/>
      <c r="Q442" s="14"/>
      <c r="R442" s="13"/>
    </row>
    <row r="443">
      <c r="J443" s="10"/>
      <c r="Q443" s="14"/>
      <c r="R443" s="13"/>
    </row>
    <row r="444">
      <c r="J444" s="10"/>
      <c r="Q444" s="14"/>
      <c r="R444" s="13"/>
    </row>
    <row r="445">
      <c r="J445" s="10"/>
      <c r="Q445" s="14"/>
      <c r="R445" s="13"/>
    </row>
    <row r="446">
      <c r="J446" s="10"/>
      <c r="Q446" s="14"/>
      <c r="R446" s="13"/>
    </row>
    <row r="447">
      <c r="J447" s="10"/>
      <c r="Q447" s="14"/>
      <c r="R447" s="13"/>
    </row>
    <row r="448">
      <c r="J448" s="10"/>
      <c r="Q448" s="14"/>
      <c r="R448" s="13"/>
    </row>
    <row r="449">
      <c r="J449" s="10"/>
      <c r="Q449" s="14"/>
      <c r="R449" s="13"/>
    </row>
    <row r="450">
      <c r="J450" s="10"/>
      <c r="Q450" s="14"/>
      <c r="R450" s="13"/>
    </row>
    <row r="451">
      <c r="J451" s="10"/>
      <c r="Q451" s="14"/>
      <c r="R451" s="13"/>
    </row>
    <row r="452">
      <c r="J452" s="10"/>
      <c r="Q452" s="14"/>
      <c r="R452" s="13"/>
    </row>
    <row r="453">
      <c r="J453" s="10"/>
      <c r="Q453" s="14"/>
      <c r="R453" s="13"/>
    </row>
    <row r="454">
      <c r="J454" s="10"/>
      <c r="Q454" s="14"/>
      <c r="R454" s="13"/>
    </row>
    <row r="455">
      <c r="J455" s="10"/>
      <c r="Q455" s="14"/>
      <c r="R455" s="13"/>
    </row>
    <row r="456">
      <c r="J456" s="10"/>
      <c r="Q456" s="14"/>
      <c r="R456" s="13"/>
    </row>
    <row r="457">
      <c r="J457" s="10"/>
      <c r="Q457" s="14"/>
      <c r="R457" s="13"/>
    </row>
    <row r="458">
      <c r="J458" s="10"/>
      <c r="Q458" s="14"/>
      <c r="R458" s="13"/>
    </row>
    <row r="459">
      <c r="J459" s="10"/>
      <c r="Q459" s="14"/>
      <c r="R459" s="13"/>
    </row>
    <row r="460">
      <c r="J460" s="10"/>
      <c r="Q460" s="14"/>
      <c r="R460" s="13"/>
    </row>
    <row r="461">
      <c r="J461" s="10"/>
      <c r="Q461" s="14"/>
      <c r="R461" s="13"/>
    </row>
    <row r="462">
      <c r="J462" s="10"/>
      <c r="Q462" s="14"/>
      <c r="R462" s="13"/>
    </row>
    <row r="463">
      <c r="J463" s="10"/>
      <c r="Q463" s="14"/>
      <c r="R463" s="13"/>
    </row>
    <row r="464">
      <c r="J464" s="10"/>
      <c r="Q464" s="14"/>
      <c r="R464" s="13"/>
    </row>
    <row r="465">
      <c r="J465" s="10"/>
      <c r="Q465" s="14"/>
      <c r="R465" s="13"/>
    </row>
    <row r="466">
      <c r="J466" s="10"/>
      <c r="Q466" s="14"/>
      <c r="R466" s="13"/>
    </row>
    <row r="467">
      <c r="J467" s="10"/>
      <c r="Q467" s="14"/>
      <c r="R467" s="13"/>
    </row>
    <row r="468">
      <c r="J468" s="10"/>
      <c r="Q468" s="14"/>
      <c r="R468" s="13"/>
    </row>
    <row r="469">
      <c r="J469" s="10"/>
      <c r="Q469" s="14"/>
      <c r="R469" s="13"/>
    </row>
    <row r="470">
      <c r="J470" s="10"/>
      <c r="Q470" s="14"/>
      <c r="R470" s="13"/>
    </row>
    <row r="471">
      <c r="J471" s="10"/>
      <c r="Q471" s="14"/>
      <c r="R471" s="13"/>
    </row>
    <row r="472">
      <c r="J472" s="10"/>
      <c r="Q472" s="14"/>
      <c r="R472" s="13"/>
    </row>
    <row r="473">
      <c r="J473" s="10"/>
      <c r="Q473" s="14"/>
      <c r="R473" s="13"/>
    </row>
    <row r="474">
      <c r="J474" s="10"/>
      <c r="Q474" s="14"/>
      <c r="R474" s="13"/>
    </row>
    <row r="475">
      <c r="J475" s="10"/>
      <c r="Q475" s="14"/>
      <c r="R475" s="13"/>
    </row>
    <row r="476">
      <c r="J476" s="10"/>
      <c r="Q476" s="14"/>
      <c r="R476" s="13"/>
    </row>
    <row r="477">
      <c r="J477" s="10"/>
      <c r="Q477" s="14"/>
      <c r="R477" s="13"/>
    </row>
    <row r="478">
      <c r="J478" s="10"/>
      <c r="Q478" s="14"/>
      <c r="R478" s="13"/>
    </row>
    <row r="479">
      <c r="J479" s="10"/>
      <c r="Q479" s="14"/>
      <c r="R479" s="13"/>
    </row>
    <row r="480">
      <c r="J480" s="10"/>
      <c r="Q480" s="14"/>
      <c r="R480" s="13"/>
    </row>
    <row r="481">
      <c r="J481" s="10"/>
      <c r="Q481" s="14"/>
      <c r="R481" s="13"/>
    </row>
    <row r="482">
      <c r="J482" s="10"/>
      <c r="Q482" s="14"/>
      <c r="R482" s="13"/>
    </row>
    <row r="483">
      <c r="J483" s="10"/>
      <c r="Q483" s="14"/>
      <c r="R483" s="13"/>
    </row>
    <row r="484">
      <c r="J484" s="10"/>
      <c r="Q484" s="14"/>
      <c r="R484" s="13"/>
    </row>
    <row r="485">
      <c r="J485" s="10"/>
      <c r="Q485" s="14"/>
      <c r="R485" s="13"/>
    </row>
    <row r="486">
      <c r="J486" s="10"/>
      <c r="Q486" s="14"/>
      <c r="R486" s="13"/>
    </row>
    <row r="487">
      <c r="J487" s="10"/>
      <c r="Q487" s="14"/>
      <c r="R487" s="13"/>
    </row>
    <row r="488">
      <c r="J488" s="10"/>
      <c r="Q488" s="14"/>
      <c r="R488" s="13"/>
    </row>
    <row r="489">
      <c r="J489" s="10"/>
      <c r="Q489" s="14"/>
      <c r="R489" s="13"/>
    </row>
    <row r="490">
      <c r="J490" s="10"/>
      <c r="Q490" s="14"/>
      <c r="R490" s="13"/>
    </row>
    <row r="491">
      <c r="J491" s="10"/>
      <c r="Q491" s="14"/>
      <c r="R491" s="13"/>
    </row>
    <row r="492">
      <c r="J492" s="10"/>
      <c r="Q492" s="14"/>
      <c r="R492" s="13"/>
    </row>
    <row r="493">
      <c r="J493" s="10"/>
      <c r="Q493" s="14"/>
      <c r="R493" s="13"/>
    </row>
    <row r="494">
      <c r="J494" s="10"/>
      <c r="Q494" s="14"/>
      <c r="R494" s="13"/>
    </row>
    <row r="495">
      <c r="J495" s="10"/>
      <c r="Q495" s="14"/>
      <c r="R495" s="13"/>
    </row>
    <row r="496">
      <c r="J496" s="10"/>
      <c r="Q496" s="14"/>
      <c r="R496" s="13"/>
    </row>
    <row r="497">
      <c r="J497" s="10"/>
      <c r="Q497" s="14"/>
      <c r="R497" s="13"/>
    </row>
    <row r="498">
      <c r="J498" s="10"/>
      <c r="Q498" s="14"/>
      <c r="R498" s="13"/>
    </row>
    <row r="499">
      <c r="J499" s="10"/>
      <c r="Q499" s="14"/>
      <c r="R499" s="13"/>
    </row>
    <row r="500">
      <c r="J500" s="10"/>
      <c r="Q500" s="14"/>
      <c r="R500" s="13"/>
    </row>
    <row r="501">
      <c r="J501" s="10"/>
      <c r="Q501" s="14"/>
      <c r="R501" s="13"/>
    </row>
    <row r="502">
      <c r="J502" s="10"/>
      <c r="Q502" s="14"/>
      <c r="R502" s="13"/>
    </row>
    <row r="503">
      <c r="J503" s="10"/>
      <c r="Q503" s="14"/>
      <c r="R503" s="13"/>
    </row>
    <row r="504">
      <c r="J504" s="10"/>
      <c r="Q504" s="14"/>
      <c r="R504" s="13"/>
    </row>
    <row r="505">
      <c r="J505" s="10"/>
      <c r="Q505" s="14"/>
      <c r="R505" s="13"/>
    </row>
    <row r="506">
      <c r="J506" s="10"/>
      <c r="Q506" s="14"/>
      <c r="R506" s="13"/>
    </row>
    <row r="507">
      <c r="J507" s="10"/>
      <c r="Q507" s="14"/>
      <c r="R507" s="13"/>
    </row>
    <row r="508">
      <c r="J508" s="10"/>
      <c r="Q508" s="14"/>
      <c r="R508" s="13"/>
    </row>
    <row r="509">
      <c r="J509" s="10"/>
      <c r="Q509" s="14"/>
      <c r="R509" s="13"/>
    </row>
    <row r="510">
      <c r="J510" s="10"/>
      <c r="Q510" s="14"/>
      <c r="R510" s="13"/>
    </row>
    <row r="511">
      <c r="J511" s="10"/>
      <c r="Q511" s="14"/>
      <c r="R511" s="13"/>
    </row>
    <row r="512">
      <c r="J512" s="10"/>
      <c r="Q512" s="14"/>
      <c r="R512" s="13"/>
    </row>
    <row r="513">
      <c r="J513" s="10"/>
      <c r="Q513" s="14"/>
      <c r="R513" s="13"/>
    </row>
    <row r="514">
      <c r="J514" s="10"/>
      <c r="Q514" s="14"/>
      <c r="R514" s="13"/>
    </row>
    <row r="515">
      <c r="J515" s="10"/>
      <c r="Q515" s="14"/>
      <c r="R515" s="13"/>
    </row>
    <row r="516">
      <c r="J516" s="10"/>
      <c r="Q516" s="14"/>
      <c r="R516" s="13"/>
    </row>
    <row r="517">
      <c r="J517" s="10"/>
      <c r="Q517" s="14"/>
      <c r="R517" s="13"/>
    </row>
    <row r="518">
      <c r="J518" s="10"/>
      <c r="Q518" s="14"/>
      <c r="R518" s="13"/>
    </row>
    <row r="519">
      <c r="J519" s="10"/>
      <c r="Q519" s="14"/>
      <c r="R519" s="13"/>
    </row>
    <row r="520">
      <c r="J520" s="10"/>
      <c r="Q520" s="14"/>
      <c r="R520" s="13"/>
    </row>
    <row r="521">
      <c r="J521" s="10"/>
      <c r="Q521" s="14"/>
      <c r="R521" s="13"/>
    </row>
    <row r="522">
      <c r="J522" s="10"/>
      <c r="Q522" s="14"/>
      <c r="R522" s="13"/>
    </row>
    <row r="523">
      <c r="J523" s="10"/>
      <c r="Q523" s="14"/>
      <c r="R523" s="13"/>
    </row>
    <row r="524">
      <c r="J524" s="10"/>
      <c r="Q524" s="14"/>
      <c r="R524" s="13"/>
    </row>
    <row r="525">
      <c r="J525" s="10"/>
      <c r="Q525" s="14"/>
      <c r="R525" s="13"/>
    </row>
    <row r="526">
      <c r="J526" s="10"/>
      <c r="Q526" s="14"/>
      <c r="R526" s="13"/>
    </row>
    <row r="527">
      <c r="J527" s="10"/>
      <c r="Q527" s="14"/>
      <c r="R527" s="13"/>
    </row>
    <row r="528">
      <c r="J528" s="10"/>
      <c r="Q528" s="14"/>
      <c r="R528" s="13"/>
    </row>
    <row r="529">
      <c r="J529" s="10"/>
      <c r="Q529" s="14"/>
      <c r="R529" s="13"/>
    </row>
    <row r="530">
      <c r="J530" s="10"/>
      <c r="Q530" s="14"/>
      <c r="R530" s="13"/>
    </row>
    <row r="531">
      <c r="J531" s="10"/>
      <c r="Q531" s="14"/>
      <c r="R531" s="13"/>
    </row>
    <row r="532">
      <c r="J532" s="10"/>
      <c r="Q532" s="14"/>
      <c r="R532" s="13"/>
    </row>
    <row r="533">
      <c r="J533" s="10"/>
      <c r="Q533" s="14"/>
      <c r="R533" s="13"/>
    </row>
    <row r="534">
      <c r="J534" s="10"/>
      <c r="Q534" s="14"/>
      <c r="R534" s="13"/>
    </row>
    <row r="535">
      <c r="J535" s="10"/>
      <c r="Q535" s="14"/>
      <c r="R535" s="13"/>
    </row>
    <row r="536">
      <c r="J536" s="10"/>
      <c r="Q536" s="14"/>
      <c r="R536" s="13"/>
    </row>
    <row r="537">
      <c r="J537" s="10"/>
      <c r="Q537" s="14"/>
      <c r="R537" s="13"/>
    </row>
    <row r="538">
      <c r="J538" s="10"/>
      <c r="Q538" s="14"/>
      <c r="R538" s="13"/>
    </row>
    <row r="539">
      <c r="J539" s="10"/>
      <c r="Q539" s="14"/>
      <c r="R539" s="13"/>
    </row>
    <row r="540">
      <c r="J540" s="10"/>
      <c r="Q540" s="14"/>
      <c r="R540" s="13"/>
    </row>
    <row r="541">
      <c r="J541" s="10"/>
      <c r="Q541" s="14"/>
      <c r="R541" s="13"/>
    </row>
    <row r="542">
      <c r="J542" s="10"/>
      <c r="Q542" s="14"/>
      <c r="R542" s="13"/>
    </row>
    <row r="543">
      <c r="J543" s="10"/>
      <c r="Q543" s="14"/>
      <c r="R543" s="13"/>
    </row>
    <row r="544">
      <c r="J544" s="10"/>
      <c r="Q544" s="14"/>
      <c r="R544" s="13"/>
    </row>
    <row r="545">
      <c r="J545" s="10"/>
      <c r="Q545" s="14"/>
      <c r="R545" s="13"/>
    </row>
    <row r="546">
      <c r="J546" s="10"/>
      <c r="Q546" s="14"/>
      <c r="R546" s="13"/>
    </row>
    <row r="547">
      <c r="J547" s="10"/>
      <c r="Q547" s="14"/>
      <c r="R547" s="13"/>
    </row>
    <row r="548">
      <c r="J548" s="10"/>
      <c r="Q548" s="14"/>
      <c r="R548" s="13"/>
    </row>
    <row r="549">
      <c r="J549" s="10"/>
      <c r="Q549" s="14"/>
      <c r="R549" s="13"/>
    </row>
    <row r="550">
      <c r="J550" s="10"/>
      <c r="Q550" s="14"/>
      <c r="R550" s="13"/>
    </row>
    <row r="551">
      <c r="J551" s="10"/>
      <c r="Q551" s="14"/>
      <c r="R551" s="13"/>
    </row>
    <row r="552">
      <c r="J552" s="10"/>
      <c r="Q552" s="14"/>
      <c r="R552" s="13"/>
    </row>
    <row r="553">
      <c r="J553" s="10"/>
      <c r="Q553" s="14"/>
      <c r="R553" s="13"/>
    </row>
    <row r="554">
      <c r="J554" s="10"/>
      <c r="Q554" s="14"/>
      <c r="R554" s="13"/>
    </row>
    <row r="555">
      <c r="J555" s="10"/>
      <c r="Q555" s="14"/>
      <c r="R555" s="13"/>
    </row>
    <row r="556">
      <c r="J556" s="10"/>
      <c r="Q556" s="14"/>
      <c r="R556" s="13"/>
    </row>
    <row r="557">
      <c r="J557" s="10"/>
      <c r="Q557" s="14"/>
      <c r="R557" s="13"/>
    </row>
    <row r="558">
      <c r="J558" s="10"/>
      <c r="Q558" s="14"/>
      <c r="R558" s="13"/>
    </row>
    <row r="559">
      <c r="J559" s="10"/>
      <c r="Q559" s="14"/>
      <c r="R559" s="13"/>
    </row>
    <row r="560">
      <c r="J560" s="10"/>
      <c r="Q560" s="14"/>
      <c r="R560" s="13"/>
    </row>
    <row r="561">
      <c r="J561" s="10"/>
      <c r="Q561" s="14"/>
      <c r="R561" s="13"/>
    </row>
    <row r="562">
      <c r="J562" s="10"/>
      <c r="Q562" s="14"/>
      <c r="R562" s="13"/>
    </row>
    <row r="563">
      <c r="J563" s="10"/>
      <c r="Q563" s="14"/>
      <c r="R563" s="13"/>
    </row>
    <row r="564">
      <c r="J564" s="10"/>
      <c r="Q564" s="14"/>
      <c r="R564" s="13"/>
    </row>
    <row r="565">
      <c r="J565" s="10"/>
      <c r="Q565" s="14"/>
      <c r="R565" s="13"/>
    </row>
    <row r="566">
      <c r="J566" s="10"/>
      <c r="Q566" s="14"/>
      <c r="R566" s="13"/>
    </row>
    <row r="567">
      <c r="J567" s="10"/>
      <c r="Q567" s="14"/>
      <c r="R567" s="13"/>
    </row>
    <row r="568">
      <c r="J568" s="10"/>
      <c r="Q568" s="14"/>
      <c r="R568" s="13"/>
    </row>
    <row r="569">
      <c r="J569" s="10"/>
      <c r="Q569" s="14"/>
      <c r="R569" s="13"/>
    </row>
    <row r="570">
      <c r="J570" s="10"/>
      <c r="Q570" s="14"/>
      <c r="R570" s="13"/>
    </row>
    <row r="571">
      <c r="J571" s="10"/>
      <c r="Q571" s="14"/>
      <c r="R571" s="13"/>
    </row>
    <row r="572">
      <c r="J572" s="10"/>
      <c r="Q572" s="14"/>
      <c r="R572" s="13"/>
    </row>
    <row r="573">
      <c r="J573" s="10"/>
      <c r="Q573" s="14"/>
      <c r="R573" s="13"/>
    </row>
    <row r="574">
      <c r="J574" s="10"/>
      <c r="Q574" s="14"/>
      <c r="R574" s="13"/>
    </row>
    <row r="575">
      <c r="J575" s="10"/>
      <c r="Q575" s="14"/>
      <c r="R575" s="13"/>
    </row>
    <row r="576">
      <c r="J576" s="10"/>
      <c r="Q576" s="14"/>
      <c r="R576" s="13"/>
    </row>
    <row r="577">
      <c r="J577" s="10"/>
      <c r="Q577" s="14"/>
      <c r="R577" s="13"/>
    </row>
    <row r="578">
      <c r="J578" s="10"/>
      <c r="Q578" s="14"/>
      <c r="R578" s="13"/>
    </row>
    <row r="579">
      <c r="J579" s="10"/>
      <c r="Q579" s="14"/>
      <c r="R579" s="13"/>
    </row>
    <row r="580">
      <c r="J580" s="10"/>
      <c r="Q580" s="14"/>
      <c r="R580" s="13"/>
    </row>
    <row r="581">
      <c r="J581" s="10"/>
      <c r="Q581" s="14"/>
      <c r="R581" s="13"/>
    </row>
    <row r="582">
      <c r="J582" s="10"/>
      <c r="Q582" s="14"/>
      <c r="R582" s="13"/>
    </row>
    <row r="583">
      <c r="J583" s="10"/>
      <c r="Q583" s="14"/>
      <c r="R583" s="13"/>
    </row>
    <row r="584">
      <c r="J584" s="10"/>
      <c r="Q584" s="14"/>
      <c r="R584" s="13"/>
    </row>
    <row r="585">
      <c r="J585" s="10"/>
      <c r="Q585" s="14"/>
      <c r="R585" s="13"/>
    </row>
    <row r="586">
      <c r="J586" s="10"/>
      <c r="Q586" s="14"/>
      <c r="R586" s="13"/>
    </row>
    <row r="587">
      <c r="J587" s="10"/>
      <c r="Q587" s="14"/>
      <c r="R587" s="13"/>
    </row>
    <row r="588">
      <c r="J588" s="10"/>
      <c r="Q588" s="14"/>
      <c r="R588" s="13"/>
    </row>
    <row r="589">
      <c r="J589" s="10"/>
      <c r="Q589" s="14"/>
      <c r="R589" s="13"/>
    </row>
    <row r="590">
      <c r="J590" s="10"/>
      <c r="Q590" s="14"/>
      <c r="R590" s="13"/>
    </row>
    <row r="591">
      <c r="J591" s="10"/>
      <c r="Q591" s="14"/>
      <c r="R591" s="13"/>
    </row>
    <row r="592">
      <c r="J592" s="10"/>
      <c r="Q592" s="14"/>
      <c r="R592" s="13"/>
    </row>
    <row r="593">
      <c r="J593" s="10"/>
      <c r="Q593" s="14"/>
      <c r="R593" s="13"/>
    </row>
    <row r="594">
      <c r="J594" s="10"/>
      <c r="Q594" s="14"/>
      <c r="R594" s="13"/>
    </row>
    <row r="595">
      <c r="J595" s="10"/>
      <c r="Q595" s="14"/>
      <c r="R595" s="13"/>
    </row>
    <row r="596">
      <c r="J596" s="10"/>
      <c r="Q596" s="14"/>
      <c r="R596" s="13"/>
    </row>
    <row r="597">
      <c r="J597" s="10"/>
      <c r="Q597" s="14"/>
      <c r="R597" s="13"/>
    </row>
    <row r="598">
      <c r="J598" s="10"/>
      <c r="Q598" s="14"/>
      <c r="R598" s="13"/>
    </row>
    <row r="599">
      <c r="J599" s="10"/>
      <c r="Q599" s="14"/>
      <c r="R599" s="13"/>
    </row>
    <row r="600">
      <c r="J600" s="10"/>
      <c r="Q600" s="14"/>
      <c r="R600" s="13"/>
    </row>
    <row r="601">
      <c r="J601" s="10"/>
      <c r="Q601" s="14"/>
      <c r="R601" s="13"/>
    </row>
    <row r="602">
      <c r="J602" s="10"/>
      <c r="Q602" s="14"/>
      <c r="R602" s="13"/>
    </row>
    <row r="603">
      <c r="J603" s="10"/>
      <c r="Q603" s="14"/>
      <c r="R603" s="13"/>
    </row>
    <row r="604">
      <c r="J604" s="10"/>
      <c r="Q604" s="14"/>
      <c r="R604" s="13"/>
    </row>
    <row r="605">
      <c r="J605" s="10"/>
      <c r="Q605" s="14"/>
      <c r="R605" s="13"/>
    </row>
    <row r="606">
      <c r="J606" s="10"/>
      <c r="Q606" s="14"/>
      <c r="R606" s="13"/>
    </row>
    <row r="607">
      <c r="J607" s="10"/>
      <c r="Q607" s="14"/>
      <c r="R607" s="13"/>
    </row>
    <row r="608">
      <c r="J608" s="10"/>
      <c r="Q608" s="14"/>
      <c r="R608" s="13"/>
    </row>
    <row r="609">
      <c r="J609" s="10"/>
      <c r="Q609" s="14"/>
      <c r="R609" s="13"/>
    </row>
    <row r="610">
      <c r="J610" s="10"/>
      <c r="Q610" s="14"/>
      <c r="R610" s="13"/>
    </row>
    <row r="611">
      <c r="J611" s="10"/>
      <c r="Q611" s="14"/>
      <c r="R611" s="13"/>
    </row>
    <row r="612">
      <c r="J612" s="10"/>
      <c r="Q612" s="14"/>
      <c r="R612" s="13"/>
    </row>
    <row r="613">
      <c r="J613" s="10"/>
      <c r="Q613" s="14"/>
      <c r="R613" s="13"/>
    </row>
    <row r="614">
      <c r="J614" s="10"/>
      <c r="Q614" s="14"/>
      <c r="R614" s="13"/>
    </row>
    <row r="615">
      <c r="J615" s="10"/>
      <c r="Q615" s="14"/>
      <c r="R615" s="13"/>
    </row>
    <row r="616">
      <c r="J616" s="10"/>
      <c r="Q616" s="14"/>
      <c r="R616" s="13"/>
    </row>
    <row r="617">
      <c r="J617" s="10"/>
      <c r="Q617" s="14"/>
      <c r="R617" s="13"/>
    </row>
    <row r="618">
      <c r="J618" s="10"/>
      <c r="Q618" s="14"/>
      <c r="R618" s="13"/>
    </row>
    <row r="619">
      <c r="J619" s="10"/>
      <c r="Q619" s="14"/>
      <c r="R619" s="13"/>
    </row>
    <row r="620">
      <c r="J620" s="10"/>
      <c r="Q620" s="14"/>
      <c r="R620" s="13"/>
    </row>
    <row r="621">
      <c r="J621" s="10"/>
      <c r="Q621" s="14"/>
      <c r="R621" s="13"/>
    </row>
    <row r="622">
      <c r="J622" s="10"/>
      <c r="Q622" s="14"/>
      <c r="R622" s="13"/>
    </row>
    <row r="623">
      <c r="J623" s="10"/>
      <c r="Q623" s="14"/>
      <c r="R623" s="13"/>
    </row>
    <row r="624">
      <c r="J624" s="10"/>
      <c r="Q624" s="14"/>
      <c r="R624" s="13"/>
    </row>
    <row r="625">
      <c r="J625" s="10"/>
      <c r="Q625" s="14"/>
      <c r="R625" s="13"/>
    </row>
    <row r="626">
      <c r="J626" s="10"/>
      <c r="Q626" s="14"/>
      <c r="R626" s="13"/>
    </row>
    <row r="627">
      <c r="J627" s="10"/>
      <c r="Q627" s="14"/>
      <c r="R627" s="13"/>
    </row>
    <row r="628">
      <c r="J628" s="10"/>
      <c r="Q628" s="14"/>
      <c r="R628" s="13"/>
    </row>
    <row r="629">
      <c r="J629" s="10"/>
      <c r="Q629" s="14"/>
      <c r="R629" s="13"/>
    </row>
    <row r="630">
      <c r="J630" s="10"/>
      <c r="Q630" s="14"/>
      <c r="R630" s="13"/>
    </row>
    <row r="631">
      <c r="J631" s="10"/>
      <c r="Q631" s="14"/>
      <c r="R631" s="13"/>
    </row>
    <row r="632">
      <c r="J632" s="10"/>
      <c r="Q632" s="14"/>
      <c r="R632" s="13"/>
    </row>
    <row r="633">
      <c r="J633" s="10"/>
      <c r="Q633" s="14"/>
      <c r="R633" s="13"/>
    </row>
    <row r="634">
      <c r="J634" s="10"/>
      <c r="Q634" s="14"/>
      <c r="R634" s="13"/>
    </row>
    <row r="635">
      <c r="J635" s="10"/>
      <c r="Q635" s="14"/>
      <c r="R635" s="13"/>
    </row>
    <row r="636">
      <c r="J636" s="10"/>
      <c r="Q636" s="14"/>
      <c r="R636" s="13"/>
    </row>
    <row r="637">
      <c r="J637" s="10"/>
      <c r="Q637" s="14"/>
      <c r="R637" s="13"/>
    </row>
    <row r="638">
      <c r="J638" s="10"/>
      <c r="Q638" s="14"/>
      <c r="R638" s="13"/>
    </row>
    <row r="639">
      <c r="J639" s="10"/>
      <c r="Q639" s="14"/>
      <c r="R639" s="13"/>
    </row>
    <row r="640">
      <c r="J640" s="10"/>
      <c r="Q640" s="14"/>
      <c r="R640" s="13"/>
    </row>
    <row r="641">
      <c r="J641" s="10"/>
      <c r="Q641" s="14"/>
      <c r="R641" s="13"/>
    </row>
    <row r="642">
      <c r="J642" s="10"/>
      <c r="Q642" s="14"/>
      <c r="R642" s="13"/>
    </row>
    <row r="643">
      <c r="J643" s="10"/>
      <c r="Q643" s="14"/>
      <c r="R643" s="13"/>
    </row>
    <row r="644">
      <c r="J644" s="10"/>
      <c r="Q644" s="14"/>
      <c r="R644" s="13"/>
    </row>
    <row r="645">
      <c r="J645" s="10"/>
      <c r="Q645" s="14"/>
      <c r="R645" s="13"/>
    </row>
    <row r="646">
      <c r="J646" s="10"/>
      <c r="Q646" s="14"/>
      <c r="R646" s="13"/>
    </row>
    <row r="647">
      <c r="J647" s="10"/>
      <c r="Q647" s="14"/>
      <c r="R647" s="13"/>
    </row>
    <row r="648">
      <c r="J648" s="10"/>
      <c r="Q648" s="14"/>
      <c r="R648" s="13"/>
    </row>
    <row r="649">
      <c r="J649" s="10"/>
      <c r="Q649" s="14"/>
      <c r="R649" s="13"/>
    </row>
    <row r="650">
      <c r="J650" s="10"/>
      <c r="Q650" s="14"/>
      <c r="R650" s="13"/>
    </row>
    <row r="651">
      <c r="J651" s="10"/>
      <c r="Q651" s="14"/>
      <c r="R651" s="13"/>
    </row>
    <row r="652">
      <c r="J652" s="10"/>
      <c r="Q652" s="14"/>
      <c r="R652" s="13"/>
    </row>
    <row r="653">
      <c r="J653" s="10"/>
      <c r="Q653" s="14"/>
      <c r="R653" s="13"/>
    </row>
    <row r="654">
      <c r="J654" s="10"/>
      <c r="Q654" s="14"/>
      <c r="R654" s="13"/>
    </row>
    <row r="655">
      <c r="J655" s="10"/>
      <c r="Q655" s="14"/>
      <c r="R655" s="13"/>
    </row>
    <row r="656">
      <c r="J656" s="10"/>
      <c r="Q656" s="14"/>
      <c r="R656" s="13"/>
    </row>
    <row r="657">
      <c r="J657" s="10"/>
      <c r="Q657" s="14"/>
      <c r="R657" s="13"/>
    </row>
    <row r="658">
      <c r="J658" s="10"/>
      <c r="Q658" s="14"/>
      <c r="R658" s="13"/>
    </row>
    <row r="659">
      <c r="J659" s="10"/>
      <c r="Q659" s="14"/>
      <c r="R659" s="13"/>
    </row>
    <row r="660">
      <c r="J660" s="10"/>
      <c r="Q660" s="14"/>
      <c r="R660" s="13"/>
    </row>
    <row r="661">
      <c r="J661" s="10"/>
      <c r="Q661" s="14"/>
      <c r="R661" s="13"/>
    </row>
    <row r="662">
      <c r="J662" s="10"/>
      <c r="Q662" s="14"/>
      <c r="R662" s="13"/>
    </row>
    <row r="663">
      <c r="J663" s="10"/>
      <c r="Q663" s="14"/>
      <c r="R663" s="13"/>
    </row>
    <row r="664">
      <c r="J664" s="10"/>
      <c r="Q664" s="14"/>
      <c r="R664" s="13"/>
    </row>
    <row r="665">
      <c r="J665" s="10"/>
      <c r="Q665" s="14"/>
      <c r="R665" s="13"/>
    </row>
    <row r="666">
      <c r="J666" s="10"/>
      <c r="Q666" s="14"/>
      <c r="R666" s="13"/>
    </row>
    <row r="667">
      <c r="J667" s="10"/>
      <c r="Q667" s="14"/>
      <c r="R667" s="13"/>
    </row>
    <row r="668">
      <c r="J668" s="10"/>
      <c r="Q668" s="14"/>
      <c r="R668" s="13"/>
    </row>
    <row r="669">
      <c r="J669" s="10"/>
      <c r="Q669" s="14"/>
      <c r="R669" s="13"/>
    </row>
    <row r="670">
      <c r="J670" s="10"/>
      <c r="Q670" s="14"/>
      <c r="R670" s="13"/>
    </row>
    <row r="671">
      <c r="J671" s="10"/>
      <c r="Q671" s="14"/>
      <c r="R671" s="13"/>
    </row>
    <row r="672">
      <c r="J672" s="10"/>
      <c r="Q672" s="14"/>
      <c r="R672" s="13"/>
    </row>
    <row r="673">
      <c r="J673" s="10"/>
      <c r="Q673" s="14"/>
      <c r="R673" s="13"/>
    </row>
    <row r="674">
      <c r="J674" s="10"/>
      <c r="Q674" s="14"/>
      <c r="R674" s="13"/>
    </row>
    <row r="675">
      <c r="J675" s="10"/>
      <c r="Q675" s="14"/>
      <c r="R675" s="13"/>
    </row>
    <row r="676">
      <c r="J676" s="10"/>
      <c r="Q676" s="14"/>
      <c r="R676" s="13"/>
    </row>
    <row r="677">
      <c r="J677" s="10"/>
      <c r="Q677" s="14"/>
      <c r="R677" s="13"/>
    </row>
    <row r="678">
      <c r="J678" s="10"/>
      <c r="Q678" s="14"/>
      <c r="R678" s="13"/>
    </row>
    <row r="679">
      <c r="J679" s="10"/>
      <c r="Q679" s="14"/>
      <c r="R679" s="13"/>
    </row>
    <row r="680">
      <c r="J680" s="10"/>
      <c r="Q680" s="14"/>
      <c r="R680" s="13"/>
    </row>
    <row r="681">
      <c r="J681" s="10"/>
      <c r="Q681" s="14"/>
      <c r="R681" s="13"/>
    </row>
    <row r="682">
      <c r="J682" s="10"/>
      <c r="Q682" s="14"/>
      <c r="R682" s="13"/>
    </row>
    <row r="683">
      <c r="J683" s="10"/>
      <c r="Q683" s="14"/>
      <c r="R683" s="13"/>
    </row>
    <row r="684">
      <c r="J684" s="10"/>
      <c r="Q684" s="14"/>
      <c r="R684" s="13"/>
    </row>
    <row r="685">
      <c r="J685" s="10"/>
      <c r="Q685" s="14"/>
      <c r="R685" s="13"/>
    </row>
    <row r="686">
      <c r="J686" s="10"/>
      <c r="Q686" s="14"/>
      <c r="R686" s="13"/>
    </row>
    <row r="687">
      <c r="J687" s="10"/>
      <c r="Q687" s="14"/>
      <c r="R687" s="13"/>
    </row>
    <row r="688">
      <c r="J688" s="10"/>
      <c r="Q688" s="14"/>
      <c r="R688" s="13"/>
    </row>
    <row r="689">
      <c r="J689" s="10"/>
      <c r="Q689" s="14"/>
      <c r="R689" s="13"/>
    </row>
    <row r="690">
      <c r="J690" s="10"/>
      <c r="Q690" s="14"/>
      <c r="R690" s="13"/>
    </row>
    <row r="691">
      <c r="J691" s="10"/>
      <c r="Q691" s="14"/>
      <c r="R691" s="13"/>
    </row>
    <row r="692">
      <c r="J692" s="10"/>
      <c r="Q692" s="14"/>
      <c r="R692" s="13"/>
    </row>
    <row r="693">
      <c r="J693" s="10"/>
      <c r="Q693" s="14"/>
      <c r="R693" s="13"/>
    </row>
    <row r="694">
      <c r="J694" s="10"/>
      <c r="Q694" s="14"/>
      <c r="R694" s="13"/>
    </row>
    <row r="695">
      <c r="J695" s="10"/>
      <c r="Q695" s="14"/>
      <c r="R695" s="13"/>
    </row>
    <row r="696">
      <c r="J696" s="10"/>
      <c r="Q696" s="14"/>
      <c r="R696" s="13"/>
    </row>
    <row r="697">
      <c r="J697" s="10"/>
      <c r="Q697" s="14"/>
      <c r="R697" s="13"/>
    </row>
    <row r="698">
      <c r="J698" s="10"/>
      <c r="Q698" s="14"/>
      <c r="R698" s="13"/>
    </row>
    <row r="699">
      <c r="J699" s="10"/>
      <c r="Q699" s="14"/>
      <c r="R699" s="13"/>
    </row>
    <row r="700">
      <c r="J700" s="10"/>
      <c r="Q700" s="14"/>
      <c r="R700" s="13"/>
    </row>
    <row r="701">
      <c r="J701" s="10"/>
      <c r="Q701" s="14"/>
      <c r="R701" s="13"/>
    </row>
    <row r="702">
      <c r="J702" s="10"/>
      <c r="Q702" s="14"/>
      <c r="R702" s="13"/>
    </row>
    <row r="703">
      <c r="J703" s="10"/>
      <c r="Q703" s="14"/>
      <c r="R703" s="13"/>
    </row>
    <row r="704">
      <c r="J704" s="10"/>
      <c r="Q704" s="14"/>
      <c r="R704" s="13"/>
    </row>
    <row r="705">
      <c r="J705" s="10"/>
      <c r="Q705" s="14"/>
      <c r="R705" s="13"/>
    </row>
    <row r="706">
      <c r="J706" s="10"/>
      <c r="Q706" s="14"/>
      <c r="R706" s="13"/>
    </row>
    <row r="707">
      <c r="J707" s="10"/>
      <c r="Q707" s="14"/>
      <c r="R707" s="13"/>
    </row>
    <row r="708">
      <c r="J708" s="10"/>
      <c r="Q708" s="14"/>
      <c r="R708" s="13"/>
    </row>
    <row r="709">
      <c r="J709" s="10"/>
      <c r="Q709" s="14"/>
      <c r="R709" s="13"/>
    </row>
    <row r="710">
      <c r="J710" s="10"/>
      <c r="Q710" s="14"/>
      <c r="R710" s="13"/>
    </row>
    <row r="711">
      <c r="J711" s="10"/>
      <c r="Q711" s="14"/>
      <c r="R711" s="13"/>
    </row>
    <row r="712">
      <c r="J712" s="10"/>
      <c r="Q712" s="14"/>
      <c r="R712" s="13"/>
    </row>
    <row r="713">
      <c r="J713" s="10"/>
      <c r="Q713" s="14"/>
      <c r="R713" s="13"/>
    </row>
    <row r="714">
      <c r="J714" s="10"/>
      <c r="Q714" s="14"/>
      <c r="R714" s="13"/>
    </row>
    <row r="715">
      <c r="J715" s="10"/>
      <c r="Q715" s="14"/>
      <c r="R715" s="13"/>
    </row>
    <row r="716">
      <c r="J716" s="10"/>
      <c r="Q716" s="14"/>
      <c r="R716" s="13"/>
    </row>
    <row r="717">
      <c r="J717" s="10"/>
      <c r="Q717" s="14"/>
      <c r="R717" s="13"/>
    </row>
    <row r="718">
      <c r="J718" s="10"/>
      <c r="Q718" s="14"/>
      <c r="R718" s="13"/>
    </row>
    <row r="719">
      <c r="J719" s="10"/>
      <c r="Q719" s="14"/>
      <c r="R719" s="13"/>
    </row>
    <row r="720">
      <c r="J720" s="10"/>
      <c r="Q720" s="14"/>
      <c r="R720" s="13"/>
    </row>
    <row r="721">
      <c r="J721" s="10"/>
      <c r="Q721" s="14"/>
      <c r="R721" s="13"/>
    </row>
    <row r="722">
      <c r="J722" s="10"/>
      <c r="Q722" s="14"/>
      <c r="R722" s="13"/>
    </row>
    <row r="723">
      <c r="J723" s="10"/>
      <c r="Q723" s="14"/>
      <c r="R723" s="13"/>
    </row>
    <row r="724">
      <c r="J724" s="10"/>
      <c r="Q724" s="14"/>
      <c r="R724" s="13"/>
    </row>
    <row r="725">
      <c r="J725" s="10"/>
      <c r="Q725" s="14"/>
      <c r="R725" s="13"/>
    </row>
    <row r="726">
      <c r="J726" s="10"/>
      <c r="Q726" s="14"/>
      <c r="R726" s="13"/>
    </row>
    <row r="727">
      <c r="J727" s="10"/>
      <c r="Q727" s="14"/>
      <c r="R727" s="13"/>
    </row>
    <row r="728">
      <c r="J728" s="10"/>
      <c r="Q728" s="14"/>
      <c r="R728" s="13"/>
    </row>
    <row r="729">
      <c r="J729" s="10"/>
      <c r="Q729" s="14"/>
      <c r="R729" s="13"/>
    </row>
    <row r="730">
      <c r="J730" s="10"/>
      <c r="Q730" s="14"/>
      <c r="R730" s="13"/>
    </row>
    <row r="731">
      <c r="J731" s="10"/>
      <c r="Q731" s="14"/>
      <c r="R731" s="13"/>
    </row>
    <row r="732">
      <c r="J732" s="10"/>
      <c r="Q732" s="14"/>
      <c r="R732" s="13"/>
    </row>
    <row r="733">
      <c r="J733" s="10"/>
      <c r="Q733" s="14"/>
      <c r="R733" s="13"/>
    </row>
    <row r="734">
      <c r="J734" s="10"/>
      <c r="Q734" s="14"/>
      <c r="R734" s="13"/>
    </row>
    <row r="735">
      <c r="J735" s="10"/>
      <c r="Q735" s="14"/>
      <c r="R735" s="13"/>
    </row>
    <row r="736">
      <c r="J736" s="10"/>
      <c r="Q736" s="14"/>
      <c r="R736" s="13"/>
    </row>
    <row r="737">
      <c r="J737" s="10"/>
      <c r="Q737" s="14"/>
      <c r="R737" s="13"/>
    </row>
    <row r="738">
      <c r="J738" s="10"/>
      <c r="Q738" s="14"/>
      <c r="R738" s="13"/>
    </row>
    <row r="739">
      <c r="J739" s="10"/>
      <c r="Q739" s="14"/>
      <c r="R739" s="13"/>
    </row>
    <row r="740">
      <c r="J740" s="10"/>
      <c r="Q740" s="14"/>
      <c r="R740" s="13"/>
    </row>
    <row r="741">
      <c r="J741" s="10"/>
      <c r="Q741" s="14"/>
      <c r="R741" s="13"/>
    </row>
    <row r="742">
      <c r="J742" s="10"/>
      <c r="Q742" s="14"/>
      <c r="R742" s="13"/>
    </row>
    <row r="743">
      <c r="J743" s="10"/>
      <c r="Q743" s="14"/>
      <c r="R743" s="13"/>
    </row>
    <row r="744">
      <c r="J744" s="10"/>
      <c r="Q744" s="14"/>
      <c r="R744" s="13"/>
    </row>
    <row r="745">
      <c r="J745" s="10"/>
      <c r="Q745" s="14"/>
      <c r="R745" s="13"/>
    </row>
    <row r="746">
      <c r="J746" s="10"/>
      <c r="Q746" s="14"/>
      <c r="R746" s="13"/>
    </row>
    <row r="747">
      <c r="J747" s="10"/>
      <c r="Q747" s="14"/>
      <c r="R747" s="13"/>
    </row>
    <row r="748">
      <c r="J748" s="10"/>
      <c r="Q748" s="14"/>
      <c r="R748" s="13"/>
    </row>
    <row r="749">
      <c r="J749" s="10"/>
      <c r="Q749" s="14"/>
      <c r="R749" s="13"/>
    </row>
    <row r="750">
      <c r="J750" s="10"/>
      <c r="Q750" s="14"/>
      <c r="R750" s="13"/>
    </row>
    <row r="751">
      <c r="J751" s="10"/>
      <c r="Q751" s="14"/>
      <c r="R751" s="13"/>
    </row>
    <row r="752">
      <c r="J752" s="10"/>
      <c r="Q752" s="14"/>
      <c r="R752" s="13"/>
    </row>
    <row r="753">
      <c r="J753" s="10"/>
      <c r="Q753" s="14"/>
      <c r="R753" s="13"/>
    </row>
    <row r="754">
      <c r="J754" s="10"/>
      <c r="Q754" s="14"/>
      <c r="R754" s="13"/>
    </row>
    <row r="755">
      <c r="J755" s="10"/>
      <c r="Q755" s="14"/>
      <c r="R755" s="13"/>
    </row>
    <row r="756">
      <c r="J756" s="10"/>
      <c r="Q756" s="14"/>
      <c r="R756" s="13"/>
    </row>
    <row r="757">
      <c r="J757" s="10"/>
      <c r="Q757" s="14"/>
      <c r="R757" s="13"/>
    </row>
    <row r="758">
      <c r="J758" s="10"/>
      <c r="Q758" s="14"/>
      <c r="R758" s="13"/>
    </row>
    <row r="759">
      <c r="J759" s="10"/>
      <c r="Q759" s="14"/>
      <c r="R759" s="13"/>
    </row>
    <row r="760">
      <c r="J760" s="10"/>
      <c r="Q760" s="14"/>
      <c r="R760" s="13"/>
    </row>
    <row r="761">
      <c r="J761" s="10"/>
      <c r="Q761" s="14"/>
      <c r="R761" s="13"/>
    </row>
    <row r="762">
      <c r="J762" s="10"/>
      <c r="Q762" s="14"/>
      <c r="R762" s="13"/>
    </row>
    <row r="763">
      <c r="J763" s="10"/>
      <c r="Q763" s="14"/>
      <c r="R763" s="13"/>
    </row>
    <row r="764">
      <c r="J764" s="10"/>
      <c r="Q764" s="14"/>
      <c r="R764" s="13"/>
    </row>
    <row r="765">
      <c r="J765" s="10"/>
      <c r="Q765" s="14"/>
      <c r="R765" s="13"/>
    </row>
    <row r="766">
      <c r="J766" s="10"/>
      <c r="Q766" s="14"/>
      <c r="R766" s="13"/>
    </row>
    <row r="767">
      <c r="J767" s="10"/>
      <c r="Q767" s="14"/>
      <c r="R767" s="13"/>
    </row>
    <row r="768">
      <c r="J768" s="10"/>
      <c r="Q768" s="14"/>
      <c r="R768" s="13"/>
    </row>
    <row r="769">
      <c r="J769" s="10"/>
      <c r="Q769" s="14"/>
      <c r="R769" s="13"/>
    </row>
    <row r="770">
      <c r="J770" s="10"/>
      <c r="Q770" s="14"/>
      <c r="R770" s="13"/>
    </row>
    <row r="771">
      <c r="J771" s="10"/>
      <c r="Q771" s="14"/>
      <c r="R771" s="13"/>
    </row>
    <row r="772">
      <c r="J772" s="10"/>
      <c r="Q772" s="14"/>
      <c r="R772" s="13"/>
    </row>
    <row r="773">
      <c r="J773" s="10"/>
      <c r="Q773" s="14"/>
      <c r="R773" s="13"/>
    </row>
    <row r="774">
      <c r="J774" s="10"/>
      <c r="Q774" s="14"/>
      <c r="R774" s="13"/>
    </row>
    <row r="775">
      <c r="J775" s="10"/>
      <c r="Q775" s="14"/>
      <c r="R775" s="13"/>
    </row>
    <row r="776">
      <c r="J776" s="10"/>
      <c r="Q776" s="14"/>
      <c r="R776" s="13"/>
    </row>
    <row r="777">
      <c r="J777" s="10"/>
      <c r="Q777" s="14"/>
      <c r="R777" s="13"/>
    </row>
    <row r="778">
      <c r="J778" s="10"/>
      <c r="Q778" s="14"/>
      <c r="R778" s="13"/>
    </row>
    <row r="779">
      <c r="J779" s="10"/>
      <c r="Q779" s="14"/>
      <c r="R779" s="13"/>
    </row>
    <row r="780">
      <c r="J780" s="10"/>
      <c r="Q780" s="14"/>
      <c r="R780" s="13"/>
    </row>
    <row r="781">
      <c r="J781" s="10"/>
      <c r="Q781" s="14"/>
      <c r="R781" s="13"/>
    </row>
    <row r="782">
      <c r="J782" s="10"/>
      <c r="Q782" s="14"/>
      <c r="R782" s="13"/>
    </row>
    <row r="783">
      <c r="J783" s="10"/>
      <c r="Q783" s="14"/>
      <c r="R783" s="13"/>
    </row>
    <row r="784">
      <c r="J784" s="10"/>
      <c r="Q784" s="14"/>
      <c r="R784" s="13"/>
    </row>
    <row r="785">
      <c r="J785" s="10"/>
      <c r="Q785" s="14"/>
      <c r="R785" s="13"/>
    </row>
    <row r="786">
      <c r="J786" s="10"/>
      <c r="Q786" s="14"/>
      <c r="R786" s="13"/>
    </row>
    <row r="787">
      <c r="J787" s="10"/>
      <c r="Q787" s="14"/>
      <c r="R787" s="13"/>
    </row>
    <row r="788">
      <c r="J788" s="10"/>
      <c r="Q788" s="14"/>
      <c r="R788" s="13"/>
    </row>
    <row r="789">
      <c r="J789" s="10"/>
      <c r="Q789" s="14"/>
      <c r="R789" s="13"/>
    </row>
    <row r="790">
      <c r="J790" s="10"/>
      <c r="Q790" s="14"/>
      <c r="R790" s="13"/>
    </row>
    <row r="791">
      <c r="J791" s="10"/>
      <c r="Q791" s="14"/>
      <c r="R791" s="13"/>
    </row>
    <row r="792">
      <c r="J792" s="10"/>
      <c r="Q792" s="14"/>
      <c r="R792" s="13"/>
    </row>
    <row r="793">
      <c r="J793" s="10"/>
      <c r="Q793" s="14"/>
      <c r="R793" s="13"/>
    </row>
    <row r="794">
      <c r="J794" s="10"/>
      <c r="Q794" s="14"/>
      <c r="R794" s="13"/>
    </row>
    <row r="795">
      <c r="J795" s="10"/>
      <c r="Q795" s="14"/>
      <c r="R795" s="13"/>
    </row>
    <row r="796">
      <c r="J796" s="10"/>
      <c r="Q796" s="14"/>
      <c r="R796" s="13"/>
    </row>
    <row r="797">
      <c r="J797" s="10"/>
      <c r="Q797" s="14"/>
      <c r="R797" s="13"/>
    </row>
    <row r="798">
      <c r="J798" s="10"/>
      <c r="Q798" s="14"/>
      <c r="R798" s="13"/>
    </row>
    <row r="799">
      <c r="J799" s="10"/>
      <c r="Q799" s="14"/>
      <c r="R799" s="13"/>
    </row>
    <row r="800">
      <c r="J800" s="10"/>
      <c r="Q800" s="14"/>
      <c r="R800" s="13"/>
    </row>
    <row r="801">
      <c r="J801" s="10"/>
      <c r="Q801" s="14"/>
      <c r="R801" s="13"/>
    </row>
    <row r="802">
      <c r="J802" s="10"/>
      <c r="Q802" s="14"/>
      <c r="R802" s="13"/>
    </row>
    <row r="803">
      <c r="J803" s="10"/>
      <c r="Q803" s="14"/>
      <c r="R803" s="13"/>
    </row>
    <row r="804">
      <c r="J804" s="10"/>
      <c r="Q804" s="14"/>
      <c r="R804" s="13"/>
    </row>
    <row r="805">
      <c r="J805" s="10"/>
      <c r="Q805" s="14"/>
      <c r="R805" s="13"/>
    </row>
    <row r="806">
      <c r="J806" s="10"/>
      <c r="Q806" s="14"/>
      <c r="R806" s="13"/>
    </row>
    <row r="807">
      <c r="J807" s="10"/>
      <c r="Q807" s="14"/>
      <c r="R807" s="13"/>
    </row>
    <row r="808">
      <c r="J808" s="10"/>
      <c r="Q808" s="14"/>
      <c r="R808" s="13"/>
    </row>
    <row r="809">
      <c r="J809" s="10"/>
      <c r="Q809" s="14"/>
      <c r="R809" s="13"/>
    </row>
    <row r="810">
      <c r="J810" s="10"/>
      <c r="Q810" s="14"/>
      <c r="R810" s="13"/>
    </row>
    <row r="811">
      <c r="J811" s="10"/>
      <c r="Q811" s="14"/>
      <c r="R811" s="13"/>
    </row>
    <row r="812">
      <c r="J812" s="10"/>
      <c r="Q812" s="14"/>
      <c r="R812" s="13"/>
    </row>
    <row r="813">
      <c r="J813" s="10"/>
      <c r="Q813" s="14"/>
      <c r="R813" s="13"/>
    </row>
    <row r="814">
      <c r="J814" s="10"/>
      <c r="Q814" s="14"/>
      <c r="R814" s="13"/>
    </row>
    <row r="815">
      <c r="J815" s="10"/>
      <c r="Q815" s="14"/>
      <c r="R815" s="13"/>
    </row>
    <row r="816">
      <c r="J816" s="10"/>
      <c r="Q816" s="14"/>
      <c r="R816" s="13"/>
    </row>
    <row r="817">
      <c r="J817" s="10"/>
      <c r="Q817" s="14"/>
      <c r="R817" s="13"/>
    </row>
    <row r="818">
      <c r="J818" s="10"/>
      <c r="Q818" s="14"/>
      <c r="R818" s="13"/>
    </row>
    <row r="819">
      <c r="J819" s="10"/>
      <c r="Q819" s="14"/>
      <c r="R819" s="13"/>
    </row>
    <row r="820">
      <c r="J820" s="10"/>
      <c r="Q820" s="14"/>
      <c r="R820" s="13"/>
    </row>
    <row r="821">
      <c r="J821" s="10"/>
      <c r="Q821" s="14"/>
      <c r="R821" s="13"/>
    </row>
    <row r="822">
      <c r="J822" s="10"/>
      <c r="Q822" s="14"/>
      <c r="R822" s="13"/>
    </row>
    <row r="823">
      <c r="J823" s="10"/>
      <c r="Q823" s="14"/>
      <c r="R823" s="13"/>
    </row>
    <row r="824">
      <c r="J824" s="10"/>
      <c r="Q824" s="14"/>
      <c r="R824" s="13"/>
    </row>
    <row r="825">
      <c r="J825" s="10"/>
      <c r="Q825" s="14"/>
      <c r="R825" s="13"/>
    </row>
    <row r="826">
      <c r="J826" s="10"/>
      <c r="Q826" s="14"/>
      <c r="R826" s="13"/>
    </row>
    <row r="827">
      <c r="J827" s="10"/>
      <c r="Q827" s="14"/>
      <c r="R827" s="13"/>
    </row>
    <row r="828">
      <c r="J828" s="10"/>
      <c r="Q828" s="14"/>
      <c r="R828" s="13"/>
    </row>
    <row r="829">
      <c r="J829" s="10"/>
      <c r="Q829" s="14"/>
      <c r="R829" s="13"/>
    </row>
    <row r="830">
      <c r="J830" s="10"/>
      <c r="Q830" s="14"/>
      <c r="R830" s="13"/>
    </row>
    <row r="831">
      <c r="J831" s="10"/>
      <c r="Q831" s="14"/>
      <c r="R831" s="13"/>
    </row>
    <row r="832">
      <c r="J832" s="10"/>
      <c r="Q832" s="14"/>
      <c r="R832" s="13"/>
    </row>
    <row r="833">
      <c r="J833" s="10"/>
      <c r="Q833" s="14"/>
      <c r="R833" s="13"/>
    </row>
    <row r="834">
      <c r="J834" s="10"/>
      <c r="Q834" s="14"/>
      <c r="R834" s="13"/>
    </row>
    <row r="835">
      <c r="J835" s="10"/>
      <c r="Q835" s="14"/>
      <c r="R835" s="13"/>
    </row>
    <row r="836">
      <c r="J836" s="10"/>
      <c r="Q836" s="14"/>
      <c r="R836" s="13"/>
    </row>
    <row r="837">
      <c r="J837" s="10"/>
      <c r="Q837" s="14"/>
      <c r="R837" s="13"/>
    </row>
    <row r="838">
      <c r="J838" s="10"/>
      <c r="Q838" s="14"/>
      <c r="R838" s="13"/>
    </row>
    <row r="839">
      <c r="J839" s="10"/>
      <c r="Q839" s="14"/>
      <c r="R839" s="13"/>
    </row>
    <row r="840">
      <c r="J840" s="10"/>
      <c r="Q840" s="14"/>
      <c r="R840" s="13"/>
    </row>
    <row r="841">
      <c r="J841" s="10"/>
      <c r="Q841" s="14"/>
      <c r="R841" s="13"/>
    </row>
    <row r="842">
      <c r="J842" s="10"/>
      <c r="Q842" s="14"/>
      <c r="R842" s="13"/>
    </row>
    <row r="843">
      <c r="J843" s="10"/>
      <c r="Q843" s="14"/>
      <c r="R843" s="13"/>
    </row>
    <row r="844">
      <c r="J844" s="10"/>
      <c r="Q844" s="14"/>
      <c r="R844" s="13"/>
    </row>
    <row r="845">
      <c r="J845" s="10"/>
      <c r="Q845" s="14"/>
      <c r="R845" s="13"/>
    </row>
    <row r="846">
      <c r="J846" s="10"/>
      <c r="Q846" s="14"/>
      <c r="R846" s="13"/>
    </row>
    <row r="847">
      <c r="J847" s="10"/>
      <c r="Q847" s="14"/>
      <c r="R847" s="13"/>
    </row>
    <row r="848">
      <c r="J848" s="10"/>
      <c r="Q848" s="14"/>
      <c r="R848" s="13"/>
    </row>
    <row r="849">
      <c r="J849" s="10"/>
      <c r="Q849" s="14"/>
      <c r="R849" s="13"/>
    </row>
    <row r="850">
      <c r="J850" s="10"/>
      <c r="Q850" s="14"/>
      <c r="R850" s="13"/>
    </row>
    <row r="851">
      <c r="J851" s="10"/>
      <c r="Q851" s="14"/>
      <c r="R851" s="13"/>
    </row>
    <row r="852">
      <c r="J852" s="10"/>
      <c r="Q852" s="14"/>
      <c r="R852" s="13"/>
    </row>
    <row r="853">
      <c r="J853" s="10"/>
      <c r="Q853" s="14"/>
      <c r="R853" s="13"/>
    </row>
    <row r="854">
      <c r="J854" s="10"/>
      <c r="Q854" s="14"/>
      <c r="R854" s="13"/>
    </row>
    <row r="855">
      <c r="J855" s="10"/>
      <c r="Q855" s="14"/>
      <c r="R855" s="13"/>
    </row>
    <row r="856">
      <c r="J856" s="10"/>
      <c r="Q856" s="14"/>
      <c r="R856" s="13"/>
    </row>
    <row r="857">
      <c r="J857" s="10"/>
      <c r="Q857" s="14"/>
      <c r="R857" s="13"/>
    </row>
    <row r="858">
      <c r="J858" s="10"/>
      <c r="Q858" s="14"/>
      <c r="R858" s="13"/>
    </row>
    <row r="859">
      <c r="J859" s="10"/>
      <c r="Q859" s="14"/>
      <c r="R859" s="13"/>
    </row>
    <row r="860">
      <c r="J860" s="10"/>
      <c r="Q860" s="14"/>
      <c r="R860" s="13"/>
    </row>
    <row r="861">
      <c r="J861" s="10"/>
      <c r="Q861" s="14"/>
      <c r="R861" s="13"/>
    </row>
    <row r="862">
      <c r="J862" s="10"/>
      <c r="Q862" s="14"/>
      <c r="R862" s="13"/>
    </row>
    <row r="863">
      <c r="J863" s="10"/>
      <c r="Q863" s="14"/>
      <c r="R863" s="13"/>
    </row>
    <row r="864">
      <c r="J864" s="10"/>
      <c r="Q864" s="14"/>
      <c r="R864" s="13"/>
    </row>
    <row r="865">
      <c r="J865" s="10"/>
      <c r="Q865" s="14"/>
      <c r="R865" s="13"/>
    </row>
    <row r="866">
      <c r="J866" s="10"/>
      <c r="Q866" s="14"/>
      <c r="R866" s="13"/>
    </row>
    <row r="867">
      <c r="J867" s="10"/>
      <c r="Q867" s="14"/>
      <c r="R867" s="13"/>
    </row>
    <row r="868">
      <c r="J868" s="10"/>
      <c r="Q868" s="14"/>
      <c r="R868" s="13"/>
    </row>
    <row r="869">
      <c r="J869" s="10"/>
      <c r="Q869" s="14"/>
      <c r="R869" s="13"/>
    </row>
    <row r="870">
      <c r="J870" s="10"/>
      <c r="Q870" s="14"/>
      <c r="R870" s="13"/>
    </row>
    <row r="871">
      <c r="J871" s="10"/>
      <c r="Q871" s="14"/>
      <c r="R871" s="13"/>
    </row>
    <row r="872">
      <c r="J872" s="10"/>
      <c r="Q872" s="14"/>
      <c r="R872" s="13"/>
    </row>
    <row r="873">
      <c r="J873" s="10"/>
      <c r="Q873" s="14"/>
      <c r="R873" s="13"/>
    </row>
    <row r="874">
      <c r="J874" s="10"/>
      <c r="Q874" s="14"/>
      <c r="R874" s="13"/>
    </row>
    <row r="875">
      <c r="J875" s="10"/>
      <c r="Q875" s="14"/>
      <c r="R875" s="13"/>
    </row>
    <row r="876">
      <c r="J876" s="10"/>
      <c r="Q876" s="14"/>
      <c r="R876" s="13"/>
    </row>
    <row r="877">
      <c r="J877" s="10"/>
      <c r="Q877" s="14"/>
      <c r="R877" s="13"/>
    </row>
    <row r="878">
      <c r="J878" s="10"/>
      <c r="Q878" s="14"/>
      <c r="R878" s="13"/>
    </row>
    <row r="879">
      <c r="J879" s="10"/>
      <c r="Q879" s="14"/>
      <c r="R879" s="13"/>
    </row>
    <row r="880">
      <c r="J880" s="10"/>
      <c r="Q880" s="14"/>
      <c r="R880" s="13"/>
    </row>
    <row r="881">
      <c r="J881" s="10"/>
      <c r="Q881" s="14"/>
      <c r="R881" s="13"/>
    </row>
    <row r="882">
      <c r="J882" s="10"/>
      <c r="Q882" s="14"/>
      <c r="R882" s="13"/>
    </row>
    <row r="883">
      <c r="J883" s="10"/>
      <c r="Q883" s="14"/>
      <c r="R883" s="13"/>
    </row>
    <row r="884">
      <c r="J884" s="10"/>
      <c r="Q884" s="14"/>
      <c r="R884" s="13"/>
    </row>
    <row r="885">
      <c r="J885" s="10"/>
      <c r="Q885" s="14"/>
      <c r="R885" s="13"/>
    </row>
    <row r="886">
      <c r="J886" s="10"/>
      <c r="Q886" s="14"/>
      <c r="R886" s="13"/>
    </row>
    <row r="887">
      <c r="J887" s="10"/>
      <c r="Q887" s="14"/>
      <c r="R887" s="13"/>
    </row>
    <row r="888">
      <c r="J888" s="10"/>
      <c r="Q888" s="14"/>
      <c r="R888" s="13"/>
    </row>
    <row r="889">
      <c r="J889" s="10"/>
      <c r="Q889" s="14"/>
      <c r="R889" s="13"/>
    </row>
    <row r="890">
      <c r="J890" s="10"/>
      <c r="Q890" s="14"/>
      <c r="R890" s="13"/>
    </row>
    <row r="891">
      <c r="J891" s="10"/>
      <c r="Q891" s="14"/>
      <c r="R891" s="13"/>
    </row>
    <row r="892">
      <c r="J892" s="10"/>
      <c r="Q892" s="14"/>
      <c r="R892" s="13"/>
    </row>
    <row r="893">
      <c r="J893" s="10"/>
      <c r="Q893" s="14"/>
      <c r="R893" s="13"/>
    </row>
    <row r="894">
      <c r="J894" s="10"/>
      <c r="Q894" s="14"/>
      <c r="R894" s="13"/>
    </row>
    <row r="895">
      <c r="J895" s="10"/>
      <c r="Q895" s="14"/>
      <c r="R895" s="13"/>
    </row>
    <row r="896">
      <c r="J896" s="10"/>
      <c r="Q896" s="14"/>
      <c r="R896" s="13"/>
    </row>
    <row r="897">
      <c r="J897" s="10"/>
      <c r="Q897" s="14"/>
      <c r="R897" s="13"/>
    </row>
    <row r="898">
      <c r="J898" s="10"/>
      <c r="Q898" s="14"/>
      <c r="R898" s="13"/>
    </row>
    <row r="899">
      <c r="J899" s="10"/>
      <c r="Q899" s="14"/>
      <c r="R899" s="13"/>
    </row>
    <row r="900">
      <c r="J900" s="10"/>
      <c r="Q900" s="14"/>
      <c r="R900" s="13"/>
    </row>
    <row r="901">
      <c r="J901" s="10"/>
      <c r="Q901" s="14"/>
      <c r="R901" s="13"/>
    </row>
    <row r="902">
      <c r="J902" s="10"/>
      <c r="Q902" s="14"/>
      <c r="R902" s="13"/>
    </row>
    <row r="903">
      <c r="J903" s="10"/>
      <c r="Q903" s="14"/>
      <c r="R903" s="13"/>
    </row>
    <row r="904">
      <c r="J904" s="10"/>
      <c r="Q904" s="14"/>
      <c r="R904" s="13"/>
    </row>
    <row r="905">
      <c r="J905" s="10"/>
      <c r="Q905" s="14"/>
      <c r="R905" s="13"/>
    </row>
    <row r="906">
      <c r="J906" s="10"/>
      <c r="Q906" s="14"/>
      <c r="R906" s="13"/>
    </row>
    <row r="907">
      <c r="J907" s="10"/>
      <c r="Q907" s="14"/>
      <c r="R907" s="13"/>
    </row>
    <row r="908">
      <c r="J908" s="10"/>
      <c r="Q908" s="14"/>
      <c r="R908" s="13"/>
    </row>
    <row r="909">
      <c r="J909" s="10"/>
      <c r="Q909" s="14"/>
      <c r="R909" s="13"/>
    </row>
    <row r="910">
      <c r="J910" s="10"/>
      <c r="Q910" s="14"/>
      <c r="R910" s="13"/>
    </row>
    <row r="911">
      <c r="J911" s="10"/>
      <c r="Q911" s="14"/>
      <c r="R911" s="13"/>
    </row>
    <row r="912">
      <c r="J912" s="10"/>
      <c r="Q912" s="14"/>
      <c r="R912" s="13"/>
    </row>
    <row r="913">
      <c r="J913" s="10"/>
      <c r="Q913" s="14"/>
      <c r="R913" s="13"/>
    </row>
    <row r="914">
      <c r="J914" s="10"/>
      <c r="Q914" s="14"/>
      <c r="R914" s="13"/>
    </row>
    <row r="915">
      <c r="J915" s="10"/>
      <c r="Q915" s="14"/>
      <c r="R915" s="13"/>
    </row>
    <row r="916">
      <c r="J916" s="10"/>
      <c r="Q916" s="14"/>
      <c r="R916" s="13"/>
    </row>
    <row r="917">
      <c r="J917" s="10"/>
      <c r="Q917" s="14"/>
      <c r="R917" s="13"/>
    </row>
    <row r="918">
      <c r="J918" s="10"/>
      <c r="Q918" s="14"/>
      <c r="R918" s="13"/>
    </row>
    <row r="919">
      <c r="J919" s="10"/>
      <c r="Q919" s="14"/>
      <c r="R919" s="13"/>
    </row>
    <row r="920">
      <c r="J920" s="10"/>
      <c r="Q920" s="14"/>
      <c r="R920" s="13"/>
    </row>
    <row r="921">
      <c r="J921" s="10"/>
      <c r="Q921" s="14"/>
      <c r="R921" s="13"/>
    </row>
    <row r="922">
      <c r="J922" s="10"/>
      <c r="Q922" s="14"/>
      <c r="R922" s="13"/>
    </row>
    <row r="923">
      <c r="J923" s="10"/>
      <c r="Q923" s="14"/>
      <c r="R923" s="13"/>
    </row>
    <row r="924">
      <c r="J924" s="10"/>
      <c r="Q924" s="14"/>
      <c r="R924" s="13"/>
    </row>
    <row r="925">
      <c r="J925" s="10"/>
      <c r="Q925" s="14"/>
      <c r="R925" s="13"/>
    </row>
    <row r="926">
      <c r="J926" s="10"/>
      <c r="Q926" s="14"/>
      <c r="R926" s="13"/>
    </row>
    <row r="927">
      <c r="J927" s="10"/>
      <c r="Q927" s="14"/>
      <c r="R927" s="13"/>
    </row>
    <row r="928">
      <c r="J928" s="10"/>
      <c r="Q928" s="14"/>
      <c r="R928" s="13"/>
    </row>
    <row r="929">
      <c r="J929" s="10"/>
      <c r="Q929" s="14"/>
      <c r="R929" s="13"/>
    </row>
    <row r="930">
      <c r="J930" s="10"/>
      <c r="Q930" s="14"/>
      <c r="R930" s="13"/>
    </row>
    <row r="931">
      <c r="J931" s="10"/>
      <c r="Q931" s="14"/>
      <c r="R931" s="13"/>
    </row>
    <row r="932">
      <c r="J932" s="10"/>
      <c r="Q932" s="14"/>
      <c r="R932" s="13"/>
    </row>
    <row r="933">
      <c r="J933" s="10"/>
      <c r="Q933" s="14"/>
      <c r="R933" s="13"/>
    </row>
    <row r="934">
      <c r="J934" s="10"/>
      <c r="Q934" s="14"/>
      <c r="R934" s="13"/>
    </row>
    <row r="935">
      <c r="J935" s="10"/>
      <c r="Q935" s="14"/>
      <c r="R935" s="13"/>
    </row>
    <row r="936">
      <c r="J936" s="10"/>
      <c r="Q936" s="14"/>
      <c r="R936" s="13"/>
    </row>
    <row r="937">
      <c r="J937" s="10"/>
      <c r="Q937" s="14"/>
      <c r="R937" s="13"/>
    </row>
    <row r="938">
      <c r="J938" s="10"/>
      <c r="Q938" s="14"/>
      <c r="R938" s="13"/>
    </row>
    <row r="939">
      <c r="J939" s="10"/>
      <c r="Q939" s="14"/>
      <c r="R939" s="13"/>
    </row>
    <row r="940">
      <c r="J940" s="10"/>
      <c r="Q940" s="14"/>
      <c r="R940" s="13"/>
    </row>
    <row r="941">
      <c r="J941" s="10"/>
      <c r="Q941" s="14"/>
      <c r="R941" s="13"/>
    </row>
    <row r="942">
      <c r="J942" s="10"/>
      <c r="Q942" s="14"/>
      <c r="R942" s="13"/>
    </row>
    <row r="943">
      <c r="J943" s="10"/>
      <c r="Q943" s="14"/>
      <c r="R943" s="13"/>
    </row>
    <row r="944">
      <c r="J944" s="10"/>
      <c r="Q944" s="14"/>
      <c r="R944" s="13"/>
    </row>
    <row r="945">
      <c r="J945" s="10"/>
      <c r="Q945" s="14"/>
      <c r="R945" s="13"/>
    </row>
    <row r="946">
      <c r="J946" s="10"/>
      <c r="Q946" s="14"/>
      <c r="R946" s="13"/>
    </row>
    <row r="947">
      <c r="J947" s="10"/>
      <c r="Q947" s="14"/>
      <c r="R947" s="13"/>
    </row>
    <row r="948">
      <c r="J948" s="10"/>
      <c r="Q948" s="14"/>
      <c r="R948" s="13"/>
    </row>
    <row r="949">
      <c r="J949" s="10"/>
      <c r="Q949" s="14"/>
      <c r="R949" s="13"/>
    </row>
    <row r="950">
      <c r="J950" s="10"/>
      <c r="Q950" s="14"/>
      <c r="R950" s="13"/>
    </row>
    <row r="951">
      <c r="J951" s="10"/>
      <c r="Q951" s="14"/>
      <c r="R951" s="13"/>
    </row>
    <row r="952">
      <c r="J952" s="10"/>
      <c r="Q952" s="14"/>
      <c r="R952" s="13"/>
    </row>
    <row r="953">
      <c r="J953" s="10"/>
      <c r="Q953" s="14"/>
      <c r="R953" s="13"/>
    </row>
    <row r="954">
      <c r="J954" s="10"/>
      <c r="Q954" s="14"/>
      <c r="R954" s="13"/>
    </row>
    <row r="955">
      <c r="J955" s="10"/>
      <c r="Q955" s="14"/>
      <c r="R955" s="13"/>
    </row>
    <row r="956">
      <c r="J956" s="10"/>
      <c r="Q956" s="14"/>
      <c r="R956" s="13"/>
    </row>
    <row r="957">
      <c r="J957" s="10"/>
      <c r="Q957" s="14"/>
      <c r="R957" s="13"/>
    </row>
    <row r="958">
      <c r="J958" s="10"/>
      <c r="Q958" s="14"/>
      <c r="R958" s="13"/>
    </row>
    <row r="959">
      <c r="J959" s="10"/>
      <c r="Q959" s="14"/>
      <c r="R959" s="13"/>
    </row>
    <row r="960">
      <c r="J960" s="10"/>
      <c r="Q960" s="14"/>
      <c r="R960" s="13"/>
    </row>
    <row r="961">
      <c r="J961" s="10"/>
      <c r="Q961" s="14"/>
      <c r="R961" s="13"/>
    </row>
    <row r="962">
      <c r="J962" s="10"/>
      <c r="Q962" s="14"/>
      <c r="R962" s="13"/>
    </row>
    <row r="963">
      <c r="J963" s="10"/>
      <c r="Q963" s="14"/>
      <c r="R963" s="13"/>
    </row>
    <row r="964">
      <c r="J964" s="10"/>
      <c r="Q964" s="14"/>
      <c r="R964" s="13"/>
    </row>
    <row r="965">
      <c r="J965" s="10"/>
      <c r="Q965" s="14"/>
      <c r="R965" s="13"/>
    </row>
    <row r="966">
      <c r="J966" s="10"/>
      <c r="Q966" s="14"/>
      <c r="R966" s="13"/>
    </row>
    <row r="967">
      <c r="J967" s="10"/>
      <c r="Q967" s="14"/>
      <c r="R967" s="13"/>
    </row>
    <row r="968">
      <c r="J968" s="10"/>
      <c r="Q968" s="14"/>
      <c r="R968" s="13"/>
    </row>
    <row r="969">
      <c r="J969" s="10"/>
      <c r="Q969" s="14"/>
      <c r="R969" s="13"/>
    </row>
    <row r="970">
      <c r="J970" s="10"/>
      <c r="Q970" s="14"/>
      <c r="R970" s="13"/>
    </row>
    <row r="971">
      <c r="J971" s="10"/>
      <c r="Q971" s="14"/>
      <c r="R971" s="13"/>
    </row>
    <row r="972">
      <c r="J972" s="10"/>
      <c r="Q972" s="14"/>
      <c r="R972" s="13"/>
    </row>
    <row r="973">
      <c r="J973" s="10"/>
      <c r="Q973" s="14"/>
      <c r="R973" s="13"/>
    </row>
    <row r="974">
      <c r="J974" s="10"/>
      <c r="Q974" s="14"/>
      <c r="R974" s="13"/>
    </row>
    <row r="975">
      <c r="J975" s="10"/>
      <c r="Q975" s="14"/>
      <c r="R975" s="13"/>
    </row>
    <row r="976">
      <c r="J976" s="10"/>
      <c r="Q976" s="14"/>
      <c r="R976" s="13"/>
    </row>
    <row r="977">
      <c r="J977" s="10"/>
      <c r="Q977" s="14"/>
      <c r="R977" s="13"/>
    </row>
    <row r="978">
      <c r="J978" s="10"/>
      <c r="Q978" s="14"/>
      <c r="R978" s="13"/>
    </row>
    <row r="979">
      <c r="J979" s="10"/>
      <c r="Q979" s="14"/>
      <c r="R979" s="13"/>
    </row>
    <row r="980">
      <c r="J980" s="10"/>
      <c r="Q980" s="14"/>
      <c r="R980" s="13"/>
    </row>
    <row r="981">
      <c r="J981" s="10"/>
      <c r="Q981" s="14"/>
      <c r="R981" s="13"/>
    </row>
    <row r="982">
      <c r="J982" s="10"/>
      <c r="Q982" s="14"/>
      <c r="R982" s="13"/>
    </row>
    <row r="983">
      <c r="J983" s="10"/>
      <c r="Q983" s="14"/>
      <c r="R983" s="13"/>
    </row>
    <row r="984">
      <c r="J984" s="10"/>
      <c r="Q984" s="14"/>
      <c r="R984" s="13"/>
    </row>
    <row r="985">
      <c r="J985" s="10"/>
      <c r="Q985" s="14"/>
      <c r="R985" s="13"/>
    </row>
    <row r="986">
      <c r="J986" s="10"/>
      <c r="Q986" s="14"/>
      <c r="R986" s="13"/>
    </row>
    <row r="987">
      <c r="J987" s="10"/>
      <c r="Q987" s="14"/>
      <c r="R987" s="13"/>
    </row>
    <row r="988">
      <c r="J988" s="10"/>
      <c r="Q988" s="14"/>
      <c r="R988" s="13"/>
    </row>
    <row r="989">
      <c r="J989" s="10"/>
      <c r="Q989" s="14"/>
      <c r="R989" s="13"/>
    </row>
    <row r="990">
      <c r="J990" s="10"/>
      <c r="Q990" s="14"/>
      <c r="R990" s="13"/>
    </row>
    <row r="991">
      <c r="J991" s="10"/>
      <c r="Q991" s="14"/>
      <c r="R991" s="13"/>
    </row>
    <row r="992">
      <c r="J992" s="10"/>
      <c r="Q992" s="14"/>
      <c r="R992" s="13"/>
    </row>
    <row r="993">
      <c r="J993" s="10"/>
      <c r="Q993" s="14"/>
      <c r="R993" s="13"/>
    </row>
    <row r="994">
      <c r="J994" s="10"/>
      <c r="Q994" s="14"/>
      <c r="R994" s="13"/>
    </row>
    <row r="995">
      <c r="J995" s="10"/>
      <c r="Q995" s="14"/>
      <c r="R995" s="13"/>
    </row>
    <row r="996">
      <c r="J996" s="10"/>
      <c r="Q996" s="14"/>
      <c r="R996" s="13"/>
    </row>
    <row r="997">
      <c r="J997" s="10"/>
      <c r="Q997" s="14"/>
      <c r="R997" s="13"/>
    </row>
    <row r="998">
      <c r="J998" s="10"/>
      <c r="Q998" s="14"/>
      <c r="R998" s="13"/>
    </row>
    <row r="999">
      <c r="J999" s="10"/>
      <c r="Q999" s="14"/>
      <c r="R999" s="13"/>
    </row>
  </sheetData>
  <conditionalFormatting sqref="B2:B999 C104:C106">
    <cfRule type="beginsWith" dxfId="0" priority="1" operator="beginsWith" text="VSS">
      <formula>LEFT((B2),LEN("VSS"))=("VSS")</formula>
    </cfRule>
  </conditionalFormatting>
  <conditionalFormatting sqref="B2:B999 C104:C106">
    <cfRule type="beginsWith" dxfId="1" priority="2" operator="beginsWith" text="VDD">
      <formula>LEFT((B2),LEN("VDD"))=("VDD")</formula>
    </cfRule>
  </conditionalFormatting>
  <conditionalFormatting sqref="B2:B999 C104:C106">
    <cfRule type="beginsWith" dxfId="2" priority="3" operator="beginsWith" text="VREF">
      <formula>LEFT((B2),LEN("VREF"))=("VREF")</formula>
    </cfRule>
  </conditionalFormatting>
  <conditionalFormatting sqref="B2:B999 C104:C106">
    <cfRule type="beginsWith" dxfId="3" priority="4" operator="beginsWith" text="VCAP">
      <formula>LEFT((B2),LEN("VCAP"))=("VCAP")</formula>
    </cfRule>
  </conditionalFormatting>
  <conditionalFormatting sqref="B2:B999 C104:C106">
    <cfRule type="beginsWith" dxfId="1" priority="5" operator="beginsWith" text="VBAT">
      <formula>LEFT((B2),LEN("VBAT"))=("VBAT")</formula>
    </cfRule>
  </conditionalFormatting>
  <conditionalFormatting sqref="B2:B999 C104:C106">
    <cfRule type="containsText" dxfId="4" priority="6" operator="containsText" text="OSC">
      <formula>NOT(ISERROR(SEARCH(("OSC"),(B2))))</formula>
    </cfRule>
  </conditionalFormatting>
  <conditionalFormatting sqref="C1:F999">
    <cfRule type="beginsWith" dxfId="2" priority="7" operator="beginsWith" text="ETH">
      <formula>LEFT((C1),LEN("ETH"))=("ETH")</formula>
    </cfRule>
  </conditionalFormatting>
  <conditionalFormatting sqref="C1:F999">
    <cfRule type="beginsWith" dxfId="5" priority="8" operator="beginsWith" text="OTG">
      <formula>LEFT((C1),LEN("OTG"))=("OTG")</formula>
    </cfRule>
  </conditionalFormatting>
  <conditionalFormatting sqref="C1:F999">
    <cfRule type="beginsWith" dxfId="6" priority="9" operator="beginsWith" text="FDCAN">
      <formula>LEFT((C1),LEN("FDCAN"))=("FDCAN")</formula>
    </cfRule>
  </conditionalFormatting>
  <conditionalFormatting sqref="C1:F999">
    <cfRule type="beginsWith" dxfId="7" priority="10" operator="beginsWith" text="SPI">
      <formula>LEFT((C1),LEN("SPI"))=("SPI")</formula>
    </cfRule>
  </conditionalFormatting>
  <conditionalFormatting sqref="C1:F999">
    <cfRule type="beginsWith" dxfId="8" priority="11" operator="beginsWith" text="UART">
      <formula>LEFT((C1),LEN("UART"))=("UART")</formula>
    </cfRule>
  </conditionalFormatting>
  <conditionalFormatting sqref="C1:F999">
    <cfRule type="beginsWith" dxfId="9" priority="12" operator="beginsWith" text="TIM">
      <formula>LEFT((C1),LEN("TIM"))=("TIM")</formula>
    </cfRule>
  </conditionalFormatting>
  <conditionalFormatting sqref="D2:D999 E48">
    <cfRule type="notContainsBlanks" dxfId="10" priority="13">
      <formula>LEN(TRIM(D2))&gt;0</formula>
    </cfRule>
  </conditionalFormatting>
  <conditionalFormatting sqref="D1:F999">
    <cfRule type="beginsWith" dxfId="11" priority="14" operator="beginsWith" text="ADC">
      <formula>LEFT((D1),LEN("ADC"))=("ADC")</formula>
    </cfRule>
  </conditionalFormatting>
  <hyperlinks>
    <hyperlink r:id="rId1" ref="S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2.38"/>
    <col customWidth="1" min="3" max="3" width="15.0"/>
    <col customWidth="1" min="4" max="4" width="10.0"/>
    <col customWidth="1" min="5" max="5" width="15.75"/>
    <col customWidth="1" min="6" max="6" width="5.75"/>
    <col customWidth="1" min="7" max="7" width="6.0"/>
    <col customWidth="1" min="8" max="8" width="5.25"/>
    <col customWidth="1" min="9" max="9" width="5.38"/>
    <col customWidth="1" min="10" max="10" width="18.0"/>
    <col customWidth="1" min="11" max="11" width="10.75"/>
    <col customWidth="1" min="12" max="12" width="15.63"/>
    <col customWidth="1" min="13" max="13" width="3.0"/>
    <col customWidth="1" min="14" max="14" width="22.88"/>
  </cols>
  <sheetData>
    <row r="1">
      <c r="A1" s="1" t="s">
        <v>288</v>
      </c>
      <c r="B1" s="4"/>
      <c r="C1" s="4"/>
      <c r="D1" s="4"/>
      <c r="E1" s="2" t="s">
        <v>289</v>
      </c>
      <c r="F1" s="2" t="s">
        <v>290</v>
      </c>
      <c r="G1" s="2" t="s">
        <v>291</v>
      </c>
      <c r="H1" s="2" t="s">
        <v>291</v>
      </c>
      <c r="I1" s="2" t="s">
        <v>290</v>
      </c>
      <c r="J1" s="2" t="s">
        <v>289</v>
      </c>
      <c r="K1" s="4"/>
      <c r="L1" s="4"/>
      <c r="M1" s="4"/>
      <c r="N1" s="1" t="s">
        <v>288</v>
      </c>
      <c r="O1" s="2" t="s">
        <v>292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25" t="s">
        <v>293</v>
      </c>
      <c r="F2" s="15" t="s">
        <v>293</v>
      </c>
      <c r="G2" s="15">
        <v>1.0</v>
      </c>
      <c r="H2" s="15">
        <v>36.0</v>
      </c>
      <c r="I2" s="15" t="s">
        <v>293</v>
      </c>
      <c r="N2" s="25" t="s">
        <v>293</v>
      </c>
    </row>
    <row r="3">
      <c r="A3" s="25" t="s">
        <v>293</v>
      </c>
      <c r="F3" s="15" t="s">
        <v>293</v>
      </c>
      <c r="G3" s="15">
        <v>2.0</v>
      </c>
      <c r="H3" s="15">
        <v>37.0</v>
      </c>
      <c r="I3" s="15" t="s">
        <v>293</v>
      </c>
      <c r="L3" s="26"/>
      <c r="N3" s="25" t="s">
        <v>293</v>
      </c>
    </row>
    <row r="4">
      <c r="A4" s="27" t="s">
        <v>294</v>
      </c>
      <c r="F4" s="15" t="s">
        <v>294</v>
      </c>
      <c r="G4" s="15">
        <v>3.0</v>
      </c>
      <c r="H4" s="15">
        <v>38.0</v>
      </c>
      <c r="I4" s="15" t="s">
        <v>294</v>
      </c>
      <c r="L4" s="26"/>
      <c r="N4" s="27" t="s">
        <v>294</v>
      </c>
    </row>
    <row r="5">
      <c r="E5" s="28" t="s">
        <v>225</v>
      </c>
      <c r="F5" s="15" t="s">
        <v>224</v>
      </c>
      <c r="G5" s="15">
        <v>4.0</v>
      </c>
      <c r="H5" s="15">
        <v>39.0</v>
      </c>
      <c r="I5" s="15" t="s">
        <v>184</v>
      </c>
      <c r="J5" s="28" t="s">
        <v>28</v>
      </c>
      <c r="N5" s="6" t="s">
        <v>295</v>
      </c>
    </row>
    <row r="6">
      <c r="E6" s="28" t="s">
        <v>228</v>
      </c>
      <c r="F6" s="15" t="s">
        <v>227</v>
      </c>
      <c r="G6" s="15">
        <v>5.0</v>
      </c>
      <c r="H6" s="15">
        <v>40.0</v>
      </c>
      <c r="I6" s="15" t="s">
        <v>186</v>
      </c>
      <c r="J6" s="28" t="s">
        <v>23</v>
      </c>
      <c r="N6" s="6" t="s">
        <v>295</v>
      </c>
    </row>
    <row r="7">
      <c r="A7" s="29" t="s">
        <v>296</v>
      </c>
      <c r="E7" s="30" t="s">
        <v>240</v>
      </c>
      <c r="F7" s="15" t="s">
        <v>252</v>
      </c>
      <c r="G7" s="15">
        <v>6.0</v>
      </c>
      <c r="H7" s="15">
        <v>41.0</v>
      </c>
      <c r="I7" s="15" t="s">
        <v>192</v>
      </c>
      <c r="J7" s="31" t="s">
        <v>297</v>
      </c>
      <c r="N7" s="32" t="s">
        <v>298</v>
      </c>
      <c r="O7" s="15" t="s">
        <v>299</v>
      </c>
    </row>
    <row r="8">
      <c r="A8" s="29" t="s">
        <v>296</v>
      </c>
      <c r="E8" s="30" t="s">
        <v>244</v>
      </c>
      <c r="F8" s="15" t="s">
        <v>260</v>
      </c>
      <c r="G8" s="15">
        <v>7.0</v>
      </c>
      <c r="H8" s="15">
        <v>42.0</v>
      </c>
      <c r="I8" s="15" t="s">
        <v>194</v>
      </c>
      <c r="J8" s="31" t="s">
        <v>300</v>
      </c>
      <c r="N8" s="32" t="s">
        <v>301</v>
      </c>
      <c r="O8" s="15" t="s">
        <v>302</v>
      </c>
    </row>
    <row r="9">
      <c r="A9" s="29" t="s">
        <v>296</v>
      </c>
      <c r="E9" s="30" t="s">
        <v>248</v>
      </c>
      <c r="F9" s="15" t="s">
        <v>262</v>
      </c>
      <c r="G9" s="15">
        <v>8.0</v>
      </c>
      <c r="H9" s="15">
        <v>43.0</v>
      </c>
      <c r="I9" s="5" t="s">
        <v>196</v>
      </c>
      <c r="J9" s="31" t="s">
        <v>303</v>
      </c>
      <c r="N9" s="32" t="s">
        <v>304</v>
      </c>
      <c r="O9" s="15" t="s">
        <v>305</v>
      </c>
    </row>
    <row r="10">
      <c r="A10" s="27" t="s">
        <v>294</v>
      </c>
      <c r="E10" s="26"/>
      <c r="F10" s="15" t="s">
        <v>294</v>
      </c>
      <c r="G10" s="15">
        <v>9.0</v>
      </c>
      <c r="H10" s="15">
        <v>44.0</v>
      </c>
      <c r="I10" s="5" t="s">
        <v>198</v>
      </c>
      <c r="J10" s="31" t="s">
        <v>306</v>
      </c>
      <c r="N10" s="32" t="s">
        <v>307</v>
      </c>
      <c r="O10" s="15" t="s">
        <v>308</v>
      </c>
    </row>
    <row r="11">
      <c r="A11" s="5"/>
      <c r="D11" s="28" t="s">
        <v>265</v>
      </c>
      <c r="F11" s="15" t="s">
        <v>264</v>
      </c>
      <c r="G11" s="15">
        <v>10.0</v>
      </c>
      <c r="H11" s="15">
        <v>45.0</v>
      </c>
      <c r="I11" s="15" t="s">
        <v>294</v>
      </c>
      <c r="N11" s="27" t="s">
        <v>294</v>
      </c>
    </row>
    <row r="12">
      <c r="A12" s="5" t="s">
        <v>309</v>
      </c>
      <c r="D12" s="28" t="s">
        <v>270</v>
      </c>
      <c r="E12" s="24" t="s">
        <v>269</v>
      </c>
      <c r="F12" s="15" t="s">
        <v>268</v>
      </c>
      <c r="G12" s="15">
        <v>11.0</v>
      </c>
      <c r="H12" s="15">
        <v>46.0</v>
      </c>
      <c r="I12" s="5" t="s">
        <v>78</v>
      </c>
      <c r="J12" s="15" t="s">
        <v>310</v>
      </c>
      <c r="L12" s="33" t="s">
        <v>311</v>
      </c>
      <c r="N12" s="33" t="s">
        <v>312</v>
      </c>
    </row>
    <row r="13">
      <c r="A13" s="5" t="s">
        <v>309</v>
      </c>
      <c r="E13" s="34" t="s">
        <v>274</v>
      </c>
      <c r="F13" s="15" t="s">
        <v>273</v>
      </c>
      <c r="G13" s="15">
        <v>12.0</v>
      </c>
      <c r="H13" s="15">
        <v>47.0</v>
      </c>
      <c r="I13" s="5" t="s">
        <v>81</v>
      </c>
      <c r="L13" s="33" t="s">
        <v>313</v>
      </c>
      <c r="N13" s="33" t="s">
        <v>314</v>
      </c>
    </row>
    <row r="14">
      <c r="A14" s="15" t="s">
        <v>309</v>
      </c>
      <c r="E14" s="34" t="s">
        <v>231</v>
      </c>
      <c r="F14" s="15" t="s">
        <v>230</v>
      </c>
      <c r="G14" s="15">
        <v>13.0</v>
      </c>
      <c r="H14" s="15">
        <v>48.0</v>
      </c>
      <c r="I14" s="15" t="s">
        <v>115</v>
      </c>
      <c r="J14" s="35" t="s">
        <v>93</v>
      </c>
      <c r="K14" s="28" t="s">
        <v>116</v>
      </c>
      <c r="N14" s="36" t="s">
        <v>315</v>
      </c>
    </row>
    <row r="15">
      <c r="A15" s="15" t="s">
        <v>316</v>
      </c>
      <c r="E15" s="34" t="s">
        <v>235</v>
      </c>
      <c r="F15" s="15" t="s">
        <v>234</v>
      </c>
      <c r="G15" s="15">
        <v>14.0</v>
      </c>
      <c r="H15" s="15">
        <v>49.0</v>
      </c>
      <c r="I15" s="15" t="s">
        <v>118</v>
      </c>
      <c r="J15" s="35" t="s">
        <v>97</v>
      </c>
      <c r="K15" s="28" t="s">
        <v>119</v>
      </c>
      <c r="N15" s="36" t="s">
        <v>315</v>
      </c>
    </row>
    <row r="16">
      <c r="A16" s="15" t="s">
        <v>317</v>
      </c>
      <c r="E16" s="34" t="s">
        <v>239</v>
      </c>
      <c r="F16" s="15" t="s">
        <v>238</v>
      </c>
      <c r="G16" s="15">
        <v>15.0</v>
      </c>
      <c r="H16" s="15">
        <v>50.0</v>
      </c>
      <c r="I16" s="5" t="s">
        <v>121</v>
      </c>
      <c r="J16" s="31" t="s">
        <v>300</v>
      </c>
      <c r="O16" s="15" t="s">
        <v>318</v>
      </c>
    </row>
    <row r="17">
      <c r="A17" s="15" t="s">
        <v>319</v>
      </c>
      <c r="E17" s="34" t="s">
        <v>243</v>
      </c>
      <c r="F17" s="15" t="s">
        <v>242</v>
      </c>
      <c r="G17" s="15">
        <v>16.0</v>
      </c>
      <c r="H17" s="15">
        <v>51.0</v>
      </c>
      <c r="I17" s="15" t="s">
        <v>124</v>
      </c>
      <c r="J17" s="35" t="s">
        <v>125</v>
      </c>
      <c r="N17" s="36" t="s">
        <v>315</v>
      </c>
    </row>
    <row r="18">
      <c r="A18" s="15" t="s">
        <v>320</v>
      </c>
      <c r="E18" s="34" t="s">
        <v>247</v>
      </c>
      <c r="F18" s="15" t="s">
        <v>246</v>
      </c>
      <c r="G18" s="15">
        <v>17.0</v>
      </c>
      <c r="H18" s="15">
        <v>52.0</v>
      </c>
      <c r="I18" s="15" t="s">
        <v>127</v>
      </c>
      <c r="J18" s="35" t="s">
        <v>128</v>
      </c>
      <c r="N18" s="36" t="s">
        <v>315</v>
      </c>
    </row>
    <row r="19">
      <c r="A19" s="27" t="s">
        <v>294</v>
      </c>
      <c r="F19" s="15" t="s">
        <v>294</v>
      </c>
      <c r="G19" s="15">
        <v>18.0</v>
      </c>
      <c r="H19" s="15">
        <v>53.0</v>
      </c>
      <c r="I19" s="15" t="s">
        <v>294</v>
      </c>
      <c r="N19" s="27" t="s">
        <v>294</v>
      </c>
    </row>
    <row r="20">
      <c r="A20" s="37" t="s">
        <v>321</v>
      </c>
      <c r="D20" s="28" t="s">
        <v>170</v>
      </c>
      <c r="E20" s="34" t="s">
        <v>171</v>
      </c>
      <c r="F20" s="15" t="s">
        <v>169</v>
      </c>
      <c r="G20" s="15">
        <v>19.0</v>
      </c>
      <c r="H20" s="15">
        <v>54.0</v>
      </c>
      <c r="I20" s="15" t="s">
        <v>84</v>
      </c>
      <c r="K20" s="34" t="s">
        <v>85</v>
      </c>
      <c r="N20" s="5" t="s">
        <v>322</v>
      </c>
    </row>
    <row r="21">
      <c r="A21" s="37" t="s">
        <v>321</v>
      </c>
      <c r="D21" s="28" t="s">
        <v>175</v>
      </c>
      <c r="E21" s="34" t="s">
        <v>176</v>
      </c>
      <c r="F21" s="38" t="s">
        <v>174</v>
      </c>
      <c r="G21" s="15">
        <v>20.0</v>
      </c>
      <c r="H21" s="15">
        <v>55.0</v>
      </c>
      <c r="I21" s="15" t="s">
        <v>87</v>
      </c>
      <c r="J21" s="39" t="s">
        <v>88</v>
      </c>
      <c r="K21" s="40" t="s">
        <v>89</v>
      </c>
      <c r="N21" s="41" t="s">
        <v>323</v>
      </c>
    </row>
    <row r="22">
      <c r="A22" s="37" t="s">
        <v>321</v>
      </c>
      <c r="D22" s="26"/>
      <c r="E22" s="34" t="s">
        <v>179</v>
      </c>
      <c r="F22" s="15" t="s">
        <v>178</v>
      </c>
      <c r="G22" s="15">
        <v>21.0</v>
      </c>
      <c r="H22" s="15">
        <v>56.0</v>
      </c>
      <c r="I22" s="15" t="s">
        <v>91</v>
      </c>
      <c r="J22" s="42" t="s">
        <v>92</v>
      </c>
      <c r="N22" s="41" t="s">
        <v>323</v>
      </c>
    </row>
    <row r="23">
      <c r="A23" s="37" t="s">
        <v>321</v>
      </c>
      <c r="D23" s="26"/>
      <c r="E23" s="34" t="s">
        <v>182</v>
      </c>
      <c r="F23" s="15" t="s">
        <v>181</v>
      </c>
      <c r="G23" s="15">
        <v>22.0</v>
      </c>
      <c r="H23" s="15">
        <v>57.0</v>
      </c>
      <c r="I23" s="15" t="s">
        <v>95</v>
      </c>
      <c r="J23" s="42" t="s">
        <v>96</v>
      </c>
      <c r="N23" s="41" t="s">
        <v>323</v>
      </c>
    </row>
    <row r="24">
      <c r="A24" s="29" t="s">
        <v>296</v>
      </c>
      <c r="C24" s="15" t="s">
        <v>324</v>
      </c>
      <c r="D24" s="43" t="s">
        <v>23</v>
      </c>
      <c r="E24" s="44" t="s">
        <v>138</v>
      </c>
      <c r="F24" s="15" t="s">
        <v>137</v>
      </c>
      <c r="G24" s="15">
        <v>23.0</v>
      </c>
      <c r="H24" s="15">
        <v>58.0</v>
      </c>
      <c r="I24" s="15" t="s">
        <v>294</v>
      </c>
      <c r="N24" s="27" t="s">
        <v>294</v>
      </c>
    </row>
    <row r="25">
      <c r="A25" s="29" t="s">
        <v>296</v>
      </c>
      <c r="C25" s="15" t="s">
        <v>325</v>
      </c>
      <c r="D25" s="43" t="s">
        <v>28</v>
      </c>
      <c r="E25" s="44" t="s">
        <v>141</v>
      </c>
      <c r="F25" s="15" t="s">
        <v>140</v>
      </c>
      <c r="G25" s="15">
        <v>24.0</v>
      </c>
      <c r="H25" s="15">
        <v>59.0</v>
      </c>
      <c r="I25" s="15" t="s">
        <v>22</v>
      </c>
      <c r="K25" s="28" t="s">
        <v>23</v>
      </c>
      <c r="L25" s="45" t="s">
        <v>326</v>
      </c>
      <c r="N25" s="33" t="s">
        <v>327</v>
      </c>
    </row>
    <row r="26">
      <c r="A26" s="29" t="s">
        <v>296</v>
      </c>
      <c r="C26" s="15" t="s">
        <v>328</v>
      </c>
      <c r="D26" s="23"/>
      <c r="E26" s="44" t="s">
        <v>144</v>
      </c>
      <c r="F26" s="15" t="s">
        <v>143</v>
      </c>
      <c r="G26" s="15">
        <v>25.0</v>
      </c>
      <c r="H26" s="15">
        <v>60.0</v>
      </c>
      <c r="I26" s="15" t="s">
        <v>26</v>
      </c>
      <c r="J26" s="42" t="s">
        <v>27</v>
      </c>
      <c r="L26" s="45" t="s">
        <v>329</v>
      </c>
      <c r="N26" s="41" t="s">
        <v>323</v>
      </c>
    </row>
    <row r="27">
      <c r="A27" s="27" t="s">
        <v>330</v>
      </c>
      <c r="F27" s="15" t="s">
        <v>294</v>
      </c>
      <c r="G27" s="15">
        <v>26.0</v>
      </c>
      <c r="H27" s="15">
        <v>61.0</v>
      </c>
      <c r="I27" s="15" t="s">
        <v>47</v>
      </c>
      <c r="J27" s="42" t="s">
        <v>48</v>
      </c>
      <c r="K27" s="28" t="s">
        <v>49</v>
      </c>
      <c r="L27" s="45" t="s">
        <v>331</v>
      </c>
      <c r="N27" s="41" t="s">
        <v>323</v>
      </c>
    </row>
    <row r="28">
      <c r="A28" s="41" t="s">
        <v>323</v>
      </c>
      <c r="D28" s="28" t="s">
        <v>28</v>
      </c>
      <c r="E28" s="42" t="s">
        <v>134</v>
      </c>
      <c r="F28" s="15" t="s">
        <v>133</v>
      </c>
      <c r="G28" s="15">
        <v>27.0</v>
      </c>
      <c r="H28" s="15">
        <v>62.0</v>
      </c>
      <c r="I28" s="15" t="s">
        <v>52</v>
      </c>
      <c r="K28" s="28" t="s">
        <v>54</v>
      </c>
      <c r="L28" s="45" t="s">
        <v>53</v>
      </c>
      <c r="N28" s="33" t="s">
        <v>332</v>
      </c>
    </row>
    <row r="29">
      <c r="A29" s="46" t="s">
        <v>333</v>
      </c>
      <c r="C29" s="33" t="s">
        <v>334</v>
      </c>
      <c r="F29" s="5" t="s">
        <v>155</v>
      </c>
      <c r="G29" s="15">
        <v>28.0</v>
      </c>
      <c r="H29" s="15">
        <v>63.0</v>
      </c>
      <c r="I29" s="15" t="s">
        <v>294</v>
      </c>
      <c r="N29" s="27" t="s">
        <v>294</v>
      </c>
    </row>
    <row r="30">
      <c r="A30" s="46" t="s">
        <v>335</v>
      </c>
      <c r="C30" s="33" t="s">
        <v>159</v>
      </c>
      <c r="F30" s="5" t="s">
        <v>158</v>
      </c>
      <c r="G30" s="15">
        <v>29.0</v>
      </c>
      <c r="H30" s="15">
        <v>64.0</v>
      </c>
      <c r="I30" s="15" t="s">
        <v>56</v>
      </c>
      <c r="K30" s="47" t="s">
        <v>58</v>
      </c>
      <c r="L30" s="45" t="s">
        <v>57</v>
      </c>
      <c r="N30" s="5" t="s">
        <v>336</v>
      </c>
    </row>
    <row r="31">
      <c r="A31" s="27" t="s">
        <v>330</v>
      </c>
      <c r="F31" s="15" t="s">
        <v>294</v>
      </c>
      <c r="G31" s="15">
        <v>30.0</v>
      </c>
      <c r="H31" s="15">
        <v>65.0</v>
      </c>
      <c r="I31" s="5" t="s">
        <v>65</v>
      </c>
      <c r="L31" s="33" t="s">
        <v>66</v>
      </c>
      <c r="N31" s="33" t="s">
        <v>337</v>
      </c>
    </row>
    <row r="32">
      <c r="A32" s="41" t="s">
        <v>323</v>
      </c>
      <c r="E32" s="42" t="s">
        <v>162</v>
      </c>
      <c r="F32" s="15" t="s">
        <v>161</v>
      </c>
      <c r="G32" s="15">
        <v>31.0</v>
      </c>
      <c r="H32" s="15">
        <v>66.0</v>
      </c>
      <c r="I32" s="15" t="s">
        <v>68</v>
      </c>
      <c r="J32" s="42" t="s">
        <v>69</v>
      </c>
      <c r="N32" s="41" t="s">
        <v>323</v>
      </c>
    </row>
    <row r="33">
      <c r="A33" s="41" t="s">
        <v>323</v>
      </c>
      <c r="E33" s="42" t="s">
        <v>166</v>
      </c>
      <c r="F33" s="15" t="s">
        <v>165</v>
      </c>
      <c r="G33" s="15">
        <v>32.0</v>
      </c>
      <c r="H33" s="15">
        <v>67.0</v>
      </c>
      <c r="I33" s="5" t="s">
        <v>130</v>
      </c>
      <c r="L33" s="33" t="s">
        <v>131</v>
      </c>
      <c r="N33" s="33" t="s">
        <v>338</v>
      </c>
    </row>
    <row r="34">
      <c r="A34" s="27" t="s">
        <v>294</v>
      </c>
      <c r="F34" s="5" t="s">
        <v>294</v>
      </c>
      <c r="G34" s="15">
        <v>33.0</v>
      </c>
      <c r="H34" s="15">
        <v>68.0</v>
      </c>
      <c r="I34" s="15" t="s">
        <v>294</v>
      </c>
      <c r="N34" s="27" t="s">
        <v>294</v>
      </c>
    </row>
    <row r="35">
      <c r="A35" s="25" t="s">
        <v>293</v>
      </c>
      <c r="F35" s="15" t="s">
        <v>293</v>
      </c>
      <c r="G35" s="15">
        <v>34.0</v>
      </c>
      <c r="H35" s="15">
        <v>69.0</v>
      </c>
      <c r="I35" s="15" t="s">
        <v>293</v>
      </c>
      <c r="L35" s="15" t="s">
        <v>310</v>
      </c>
      <c r="N35" s="25" t="s">
        <v>293</v>
      </c>
    </row>
    <row r="36">
      <c r="A36" s="25" t="s">
        <v>293</v>
      </c>
      <c r="F36" s="15" t="s">
        <v>293</v>
      </c>
      <c r="G36" s="15">
        <v>35.0</v>
      </c>
      <c r="H36" s="15">
        <v>70.0</v>
      </c>
      <c r="I36" s="15" t="s">
        <v>293</v>
      </c>
      <c r="N36" s="25" t="s">
        <v>293</v>
      </c>
    </row>
    <row r="38">
      <c r="A38" s="15" t="s">
        <v>339</v>
      </c>
    </row>
    <row r="39">
      <c r="A39" s="15" t="s">
        <v>295</v>
      </c>
      <c r="C39" s="15" t="s">
        <v>340</v>
      </c>
    </row>
    <row r="40">
      <c r="A40" s="15" t="s">
        <v>341</v>
      </c>
      <c r="C40" s="15" t="s">
        <v>342</v>
      </c>
      <c r="D40" s="15" t="s">
        <v>343</v>
      </c>
    </row>
  </sheetData>
  <conditionalFormatting sqref="F2:F37 I2:I11 K3:K6 L5:L6 K9 K11 C13:C21 I14:I32 K14:K19 L14:L32 K22:K26 M25 O25 Q25 K28:K32 M28 O28 Q28 I34:I42 L34 K38:L38 F39 N39 A40 K40 L40:L42 A43:A44 I44:I45 F45 C47:C51 F47:F1000 I49:I1000">
    <cfRule type="cellIs" dxfId="12" priority="1" operator="equal">
      <formula>"GND"</formula>
    </cfRule>
  </conditionalFormatting>
  <conditionalFormatting sqref="F2:F37 I2:I11 K3:K6 L5:L6 K9 K11 C13:C21 I14:I32 K14:K19 L14:L32 K22:K26 M25 O25 Q25 K28:K32 M28 O28 Q28 I34:I42 L34 K38:L38 F39 N39 A40 K40 L40:L42 A43:A44 I44:I45 F45 C47:C51 F47:F1000 I49:I1000">
    <cfRule type="cellIs" dxfId="13" priority="2" operator="equal">
      <formula>"5V"</formula>
    </cfRule>
  </conditionalFormatting>
  <conditionalFormatting sqref="F2:F37 I2:I42 O25 O28 A38:A44 F39 N39 I44:I45 F45 F47:F1000 I49:I1000">
    <cfRule type="beginsWith" dxfId="14" priority="3" operator="beginsWith" text="PA">
      <formula>LEFT((F2),LEN("PA"))=("PA")</formula>
    </cfRule>
  </conditionalFormatting>
  <conditionalFormatting sqref="F2:F37 I2:I42 O25 O28 A38:A44 F39 N39 I44:I45 F45 F47:F1000 I49:I1000">
    <cfRule type="beginsWith" dxfId="15" priority="4" operator="beginsWith" text="PB">
      <formula>LEFT((F2),LEN("PB"))=("PB")</formula>
    </cfRule>
  </conditionalFormatting>
  <conditionalFormatting sqref="F2:F37 I2:I42 O25 O28 A38:A44 F39 N39 I44:I45 F45 F47:F1000 I49:I1000">
    <cfRule type="beginsWith" dxfId="16" priority="5" operator="beginsWith" text="PC">
      <formula>LEFT((F2),LEN("PC"))=("PC")</formula>
    </cfRule>
  </conditionalFormatting>
  <conditionalFormatting sqref="F2:F37 I2:I42 O25 O28 A38:A44 F39 N39 I44:I45 F45 F47:F1000 I49:I1000">
    <cfRule type="beginsWith" dxfId="17" priority="6" operator="beginsWith" text="PD">
      <formula>LEFT((F2),LEN("PD"))=("PD")</formula>
    </cfRule>
  </conditionalFormatting>
  <conditionalFormatting sqref="F2:F37 I2:I11 I14:I32 O25 O28 I34:I42 F39 N39 A40 A43:A44 I44:I45 F45 F47:F1000 I49:I1000">
    <cfRule type="beginsWith" dxfId="18" priority="7" operator="beginsWith" text="PE">
      <formula>LEFT((F2),LEN("PE"))=("PE")</formula>
    </cfRule>
  </conditionalFormatting>
  <drawing r:id="rId1"/>
</worksheet>
</file>